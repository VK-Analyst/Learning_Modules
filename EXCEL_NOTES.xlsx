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7.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hp\Documents\Data Analyst\MODULES\"/>
    </mc:Choice>
  </mc:AlternateContent>
  <xr:revisionPtr revIDLastSave="0" documentId="13_ncr:1_{0B1F245C-9D0D-4E45-8411-4CC6EC902CE3}" xr6:coauthVersionLast="47" xr6:coauthVersionMax="47" xr10:uidLastSave="{00000000-0000-0000-0000-000000000000}"/>
  <bookViews>
    <workbookView xWindow="-120" yWindow="-120" windowWidth="29040" windowHeight="15840" xr2:uid="{1EC965AD-A5E4-46E5-A0F0-149334C21347}"/>
  </bookViews>
  <sheets>
    <sheet name="TABLE" sheetId="1" r:id="rId1"/>
    <sheet name="PASTE SPECIAL" sheetId="4" r:id="rId2"/>
    <sheet name="REFERENCE" sheetId="16" r:id="rId3"/>
    <sheet name="DATA ARRANGEMENT" sheetId="5" r:id="rId4"/>
    <sheet name="SUBTOTAL" sheetId="6" r:id="rId5"/>
    <sheet name="CONDITIONAL FORMATTING" sheetId="8" r:id="rId6"/>
    <sheet name="ANALYSIS" sheetId="9" r:id="rId7"/>
    <sheet name="COLUMN CHART" sheetId="13" r:id="rId8"/>
    <sheet name="LINE CHART" sheetId="14" r:id="rId9"/>
    <sheet name="PIE CHART" sheetId="15" r:id="rId10"/>
    <sheet name="TEXT FUNCTIONS" sheetId="10" r:id="rId11"/>
    <sheet name="MATHEMATICAL FUNCTIONS" sheetId="19" r:id="rId12"/>
    <sheet name="LOGICAL FUNCTIONS" sheetId="22" r:id="rId13"/>
    <sheet name="DATABASE FUNCTIONS" sheetId="18" r:id="rId14"/>
    <sheet name="FUNCTIONS PRACTICE" sheetId="20" r:id="rId15"/>
    <sheet name="POWER QUERY" sheetId="21" r:id="rId16"/>
  </sheets>
  <definedNames>
    <definedName name="_xlnm._FilterDatabase" localSheetId="5" hidden="1">'CONDITIONAL FORMATTING'!$I$71:$I$73</definedName>
    <definedName name="_xlchart.v1.0" hidden="1">'PIE CHART'!$B$43:$B$54</definedName>
    <definedName name="_xlchart.v1.1" hidden="1">'PIE CHART'!$C$42</definedName>
    <definedName name="_xlchart.v1.2" hidden="1">'PIE CHART'!$C$43:$C$54</definedName>
    <definedName name="ExternalData_1" localSheetId="15" hidden="1">'POWER QUERY'!$B$8:$I$73</definedName>
    <definedName name="_xlnm.Extract" localSheetId="5">'CONDITIONAL FORMATTING'!$I$76</definedName>
  </definedNames>
  <calcPr calcId="191029"/>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1" l="1"/>
  <c r="I28" i="1"/>
  <c r="C66" i="19"/>
  <c r="D92" i="22"/>
  <c r="D84" i="22"/>
  <c r="D269" i="18"/>
  <c r="D270" i="18"/>
  <c r="D271" i="18"/>
  <c r="D272" i="18"/>
  <c r="D268" i="18"/>
  <c r="D267" i="18"/>
  <c r="D228" i="18"/>
  <c r="D229" i="18"/>
  <c r="D230" i="18"/>
  <c r="D231" i="18"/>
  <c r="D232" i="18"/>
  <c r="D233" i="18"/>
  <c r="D234" i="18"/>
  <c r="D227" i="18"/>
  <c r="E202" i="18"/>
  <c r="F202" i="18"/>
  <c r="G202" i="18"/>
  <c r="E203" i="18"/>
  <c r="F203" i="18"/>
  <c r="G203" i="18"/>
  <c r="E204" i="18"/>
  <c r="F204" i="18"/>
  <c r="G204" i="18"/>
  <c r="E205" i="18"/>
  <c r="F205" i="18"/>
  <c r="G205" i="18"/>
  <c r="E206" i="18"/>
  <c r="F206" i="18"/>
  <c r="G206" i="18"/>
  <c r="E207" i="18"/>
  <c r="F207" i="18"/>
  <c r="G207" i="18"/>
  <c r="E208" i="18"/>
  <c r="F208" i="18"/>
  <c r="G208" i="18"/>
  <c r="E209" i="18"/>
  <c r="F209" i="18"/>
  <c r="G209" i="18"/>
  <c r="E210" i="18"/>
  <c r="F210" i="18"/>
  <c r="G210" i="18"/>
  <c r="E211" i="18"/>
  <c r="F211" i="18"/>
  <c r="G211" i="18"/>
  <c r="D203" i="18"/>
  <c r="D204" i="18"/>
  <c r="D205" i="18"/>
  <c r="D206" i="18"/>
  <c r="D207" i="18"/>
  <c r="D208" i="18"/>
  <c r="D209" i="18"/>
  <c r="D210" i="18"/>
  <c r="D211" i="18"/>
  <c r="D202" i="18"/>
  <c r="E177" i="18"/>
  <c r="D177" i="18"/>
  <c r="K149" i="22"/>
  <c r="J149" i="22"/>
  <c r="I149" i="22"/>
  <c r="H149" i="22"/>
  <c r="K148" i="22"/>
  <c r="J148" i="22"/>
  <c r="I148" i="22"/>
  <c r="H148" i="22"/>
  <c r="K147" i="22"/>
  <c r="J147" i="22"/>
  <c r="I147" i="22"/>
  <c r="H147" i="22"/>
  <c r="K146" i="22"/>
  <c r="J146" i="22"/>
  <c r="I146" i="22"/>
  <c r="H146" i="22"/>
  <c r="K145" i="22"/>
  <c r="J145" i="22"/>
  <c r="I145" i="22"/>
  <c r="H145" i="22"/>
  <c r="K144" i="22"/>
  <c r="J144" i="22"/>
  <c r="I144" i="22"/>
  <c r="H144" i="22"/>
  <c r="E125" i="22"/>
  <c r="E124" i="22"/>
  <c r="E123" i="22"/>
  <c r="E122" i="22"/>
  <c r="E121" i="22"/>
  <c r="E120" i="22"/>
  <c r="D96" i="22"/>
  <c r="D97" i="22"/>
  <c r="D88" i="22"/>
  <c r="D86" i="22"/>
  <c r="I35" i="22"/>
  <c r="I36" i="22"/>
  <c r="I37" i="22"/>
  <c r="I38" i="22"/>
  <c r="I39" i="22"/>
  <c r="I40" i="22"/>
  <c r="I34" i="22"/>
  <c r="H35" i="22"/>
  <c r="H36" i="22"/>
  <c r="H37" i="22"/>
  <c r="H38" i="22"/>
  <c r="H39" i="22"/>
  <c r="H40" i="22"/>
  <c r="H34" i="22"/>
  <c r="G35" i="22"/>
  <c r="G36" i="22"/>
  <c r="G37" i="22"/>
  <c r="G38" i="22"/>
  <c r="G39" i="22"/>
  <c r="G40" i="22"/>
  <c r="G34" i="22"/>
  <c r="F35" i="22"/>
  <c r="F36" i="22"/>
  <c r="F37" i="22"/>
  <c r="F38" i="22"/>
  <c r="F39" i="22"/>
  <c r="F40" i="22"/>
  <c r="F34" i="22"/>
  <c r="E35" i="22"/>
  <c r="E36" i="22"/>
  <c r="E37" i="22"/>
  <c r="E38" i="22"/>
  <c r="E39" i="22"/>
  <c r="E40" i="22"/>
  <c r="E34" i="22"/>
  <c r="D35" i="22"/>
  <c r="D36" i="22"/>
  <c r="D37" i="22"/>
  <c r="D38" i="22"/>
  <c r="D39" i="22"/>
  <c r="D40" i="22"/>
  <c r="D34" i="22"/>
  <c r="C35" i="22"/>
  <c r="C36" i="22"/>
  <c r="C37" i="22"/>
  <c r="C38" i="22"/>
  <c r="C39" i="22"/>
  <c r="C40" i="22"/>
  <c r="C34" i="22"/>
  <c r="D100" i="22"/>
  <c r="D104" i="22"/>
  <c r="D103" i="22"/>
  <c r="D102" i="22"/>
  <c r="D101" i="22"/>
  <c r="D99" i="22"/>
  <c r="D98" i="22"/>
  <c r="D95" i="22"/>
  <c r="D94" i="22"/>
  <c r="D93" i="22"/>
  <c r="D91" i="22"/>
  <c r="D90" i="22"/>
  <c r="D89" i="22"/>
  <c r="D87" i="22"/>
  <c r="D85" i="22"/>
  <c r="D83" i="22"/>
  <c r="D82" i="22"/>
  <c r="C72" i="19"/>
  <c r="C71" i="19"/>
  <c r="C68" i="19"/>
  <c r="C76" i="19"/>
  <c r="C75" i="19"/>
  <c r="C70" i="19"/>
  <c r="C69" i="19"/>
  <c r="C67" i="19"/>
  <c r="C65" i="19"/>
  <c r="D202" i="10"/>
  <c r="D201" i="10"/>
  <c r="C201" i="10"/>
  <c r="G202" i="10"/>
  <c r="G203" i="10"/>
  <c r="H203" i="10" s="1"/>
  <c r="G204" i="10"/>
  <c r="G205" i="10"/>
  <c r="G206" i="10"/>
  <c r="G207" i="10"/>
  <c r="G208" i="10"/>
  <c r="G209" i="10"/>
  <c r="H209" i="10" s="1"/>
  <c r="G210" i="10"/>
  <c r="G211" i="10"/>
  <c r="H211" i="10" s="1"/>
  <c r="G212" i="10"/>
  <c r="G213" i="10"/>
  <c r="G214" i="10"/>
  <c r="G215" i="10"/>
  <c r="H215" i="10" s="1"/>
  <c r="G216" i="10"/>
  <c r="G217" i="10"/>
  <c r="H217" i="10" s="1"/>
  <c r="G218" i="10"/>
  <c r="G219" i="10"/>
  <c r="H219" i="10" s="1"/>
  <c r="G220" i="10"/>
  <c r="G221" i="10"/>
  <c r="G222" i="10"/>
  <c r="G223" i="10"/>
  <c r="G224" i="10"/>
  <c r="G225" i="10"/>
  <c r="H225" i="10" s="1"/>
  <c r="G226" i="10"/>
  <c r="G227" i="10"/>
  <c r="H227" i="10" s="1"/>
  <c r="G228" i="10"/>
  <c r="G229" i="10"/>
  <c r="G230" i="10"/>
  <c r="G231" i="10"/>
  <c r="G232" i="10"/>
  <c r="G233" i="10"/>
  <c r="H233" i="10" s="1"/>
  <c r="G234" i="10"/>
  <c r="G235" i="10"/>
  <c r="H235" i="10" s="1"/>
  <c r="G236" i="10"/>
  <c r="G237" i="10"/>
  <c r="G238" i="10"/>
  <c r="G239" i="10"/>
  <c r="G240" i="10"/>
  <c r="G241" i="10"/>
  <c r="H241" i="10" s="1"/>
  <c r="G242" i="10"/>
  <c r="G243" i="10"/>
  <c r="H243" i="10" s="1"/>
  <c r="G244" i="10"/>
  <c r="G245" i="10"/>
  <c r="G246" i="10"/>
  <c r="G247" i="10"/>
  <c r="H247" i="10" s="1"/>
  <c r="G248" i="10"/>
  <c r="G249" i="10"/>
  <c r="H249" i="10" s="1"/>
  <c r="G250" i="10"/>
  <c r="G251" i="10"/>
  <c r="H251" i="10" s="1"/>
  <c r="G252" i="10"/>
  <c r="G253" i="10"/>
  <c r="G254" i="10"/>
  <c r="G255" i="10"/>
  <c r="G256" i="10"/>
  <c r="G257" i="10"/>
  <c r="H257" i="10" s="1"/>
  <c r="G258" i="10"/>
  <c r="G259" i="10"/>
  <c r="H259" i="10" s="1"/>
  <c r="G260" i="10"/>
  <c r="G261" i="10"/>
  <c r="G262" i="10"/>
  <c r="G263" i="10"/>
  <c r="G264" i="10"/>
  <c r="G265" i="10"/>
  <c r="H265" i="10" s="1"/>
  <c r="G266" i="10"/>
  <c r="G267" i="10"/>
  <c r="H267" i="10" s="1"/>
  <c r="G268" i="10"/>
  <c r="G269" i="10"/>
  <c r="G270" i="10"/>
  <c r="G271" i="10"/>
  <c r="G272" i="10"/>
  <c r="G273" i="10"/>
  <c r="H273" i="10" s="1"/>
  <c r="G274" i="10"/>
  <c r="G275" i="10"/>
  <c r="G276" i="10"/>
  <c r="G277" i="10"/>
  <c r="G278" i="10"/>
  <c r="G279" i="10"/>
  <c r="G280" i="10"/>
  <c r="G281" i="10"/>
  <c r="H281" i="10" s="1"/>
  <c r="G282" i="10"/>
  <c r="G283" i="10"/>
  <c r="H283" i="10" s="1"/>
  <c r="G284" i="10"/>
  <c r="G285" i="10"/>
  <c r="G286" i="10"/>
  <c r="G287" i="10"/>
  <c r="H287" i="10" s="1"/>
  <c r="G288" i="10"/>
  <c r="G289" i="10"/>
  <c r="H289" i="10" s="1"/>
  <c r="G290" i="10"/>
  <c r="G291" i="10"/>
  <c r="H291" i="10" s="1"/>
  <c r="G292" i="10"/>
  <c r="G293" i="10"/>
  <c r="G294" i="10"/>
  <c r="G295" i="10"/>
  <c r="G296" i="10"/>
  <c r="G297" i="10"/>
  <c r="H297" i="10" s="1"/>
  <c r="G298" i="10"/>
  <c r="G299" i="10"/>
  <c r="H299" i="10" s="1"/>
  <c r="G300" i="10"/>
  <c r="G201" i="10"/>
  <c r="I231" i="20"/>
  <c r="I230" i="20"/>
  <c r="I238" i="20"/>
  <c r="I237" i="20"/>
  <c r="I236" i="20"/>
  <c r="I235" i="20"/>
  <c r="I234" i="20"/>
  <c r="I233" i="20"/>
  <c r="X218" i="20"/>
  <c r="X219" i="20"/>
  <c r="X220" i="20"/>
  <c r="X221" i="20"/>
  <c r="X222" i="20"/>
  <c r="X223" i="20"/>
  <c r="X224" i="20"/>
  <c r="X225" i="20"/>
  <c r="X226" i="20"/>
  <c r="X217" i="20"/>
  <c r="V218" i="20"/>
  <c r="V219" i="20"/>
  <c r="V220" i="20"/>
  <c r="V221" i="20"/>
  <c r="V222" i="20"/>
  <c r="V223" i="20"/>
  <c r="V224" i="20"/>
  <c r="V225" i="20"/>
  <c r="V226" i="20"/>
  <c r="V217" i="20"/>
  <c r="U218" i="20"/>
  <c r="U219" i="20"/>
  <c r="U220" i="20"/>
  <c r="U221" i="20"/>
  <c r="U222" i="20"/>
  <c r="U223" i="20"/>
  <c r="U224" i="20"/>
  <c r="U225" i="20"/>
  <c r="U226" i="20"/>
  <c r="U217" i="20"/>
  <c r="T218" i="20"/>
  <c r="T219" i="20"/>
  <c r="T220" i="20"/>
  <c r="T221" i="20"/>
  <c r="T222" i="20"/>
  <c r="T223" i="20"/>
  <c r="T224" i="20"/>
  <c r="T225" i="20"/>
  <c r="T226" i="20"/>
  <c r="T217" i="20"/>
  <c r="S218" i="20"/>
  <c r="S219" i="20"/>
  <c r="S220" i="20"/>
  <c r="S221" i="20"/>
  <c r="S222" i="20"/>
  <c r="S223" i="20"/>
  <c r="S224" i="20"/>
  <c r="S225" i="20"/>
  <c r="S226" i="20"/>
  <c r="R218" i="20"/>
  <c r="R219" i="20"/>
  <c r="R220" i="20"/>
  <c r="R221" i="20"/>
  <c r="R222" i="20"/>
  <c r="R223" i="20"/>
  <c r="R224" i="20"/>
  <c r="R225" i="20"/>
  <c r="R226" i="20"/>
  <c r="S217" i="20"/>
  <c r="R217" i="20"/>
  <c r="Q218" i="20"/>
  <c r="Q220" i="20"/>
  <c r="Q217" i="20"/>
  <c r="H217" i="20"/>
  <c r="P218" i="20"/>
  <c r="P219" i="20"/>
  <c r="P220" i="20"/>
  <c r="P221" i="20"/>
  <c r="P222" i="20"/>
  <c r="P223" i="20"/>
  <c r="P224" i="20"/>
  <c r="P225" i="20"/>
  <c r="P226" i="20"/>
  <c r="P217" i="20"/>
  <c r="N221" i="20"/>
  <c r="O221" i="20" s="1"/>
  <c r="M218" i="20"/>
  <c r="N218" i="20" s="1"/>
  <c r="O218" i="20" s="1"/>
  <c r="M219" i="20"/>
  <c r="N219" i="20" s="1"/>
  <c r="O219" i="20" s="1"/>
  <c r="M220" i="20"/>
  <c r="N220" i="20" s="1"/>
  <c r="O220" i="20" s="1"/>
  <c r="M221" i="20"/>
  <c r="M222" i="20"/>
  <c r="N222" i="20" s="1"/>
  <c r="O222" i="20" s="1"/>
  <c r="M223" i="20"/>
  <c r="N223" i="20" s="1"/>
  <c r="O223" i="20" s="1"/>
  <c r="M224" i="20"/>
  <c r="N224" i="20" s="1"/>
  <c r="O224" i="20" s="1"/>
  <c r="M225" i="20"/>
  <c r="N225" i="20" s="1"/>
  <c r="O225" i="20" s="1"/>
  <c r="M226" i="20"/>
  <c r="N226" i="20" s="1"/>
  <c r="O226" i="20" s="1"/>
  <c r="M217" i="20"/>
  <c r="N217" i="20" s="1"/>
  <c r="O217" i="20" s="1"/>
  <c r="L218" i="20"/>
  <c r="L219" i="20"/>
  <c r="L220" i="20"/>
  <c r="L221" i="20"/>
  <c r="L222" i="20"/>
  <c r="L223" i="20"/>
  <c r="L224" i="20"/>
  <c r="L225" i="20"/>
  <c r="L226" i="20"/>
  <c r="L217" i="20"/>
  <c r="K218" i="20"/>
  <c r="K219" i="20"/>
  <c r="K220" i="20"/>
  <c r="K221" i="20"/>
  <c r="K222" i="20"/>
  <c r="K223" i="20"/>
  <c r="K224" i="20"/>
  <c r="K225" i="20"/>
  <c r="K226" i="20"/>
  <c r="K217" i="20"/>
  <c r="J218" i="20"/>
  <c r="J219" i="20"/>
  <c r="J220" i="20"/>
  <c r="J221" i="20"/>
  <c r="J222" i="20"/>
  <c r="J223" i="20"/>
  <c r="J224" i="20"/>
  <c r="J225" i="20"/>
  <c r="J226" i="20"/>
  <c r="J217" i="20"/>
  <c r="I218" i="20"/>
  <c r="I219" i="20"/>
  <c r="I220" i="20"/>
  <c r="I221" i="20"/>
  <c r="I222" i="20"/>
  <c r="I223" i="20"/>
  <c r="I224" i="20"/>
  <c r="I225" i="20"/>
  <c r="I226" i="20"/>
  <c r="I217" i="20"/>
  <c r="H219" i="20"/>
  <c r="Q219" i="20" s="1"/>
  <c r="H220" i="20"/>
  <c r="H221" i="20"/>
  <c r="Q221" i="20" s="1"/>
  <c r="H222" i="20"/>
  <c r="Q222" i="20" s="1"/>
  <c r="H223" i="20"/>
  <c r="Q223" i="20" s="1"/>
  <c r="H224" i="20"/>
  <c r="Q224" i="20" s="1"/>
  <c r="H225" i="20"/>
  <c r="Q225" i="20" s="1"/>
  <c r="H226" i="20"/>
  <c r="Q226" i="20" s="1"/>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201" i="10"/>
  <c r="B202" i="10"/>
  <c r="I202" i="10" s="1"/>
  <c r="B203" i="10"/>
  <c r="I203" i="10" s="1"/>
  <c r="B204" i="10"/>
  <c r="I204" i="10" s="1"/>
  <c r="B205" i="10"/>
  <c r="I205" i="10" s="1"/>
  <c r="B206" i="10"/>
  <c r="I206" i="10" s="1"/>
  <c r="B207" i="10"/>
  <c r="I207" i="10" s="1"/>
  <c r="B208" i="10"/>
  <c r="I208" i="10" s="1"/>
  <c r="B209" i="10"/>
  <c r="I209" i="10" s="1"/>
  <c r="B210" i="10"/>
  <c r="I210" i="10" s="1"/>
  <c r="B211" i="10"/>
  <c r="I211" i="10" s="1"/>
  <c r="B212" i="10"/>
  <c r="I212" i="10" s="1"/>
  <c r="B213" i="10"/>
  <c r="I213" i="10" s="1"/>
  <c r="B214" i="10"/>
  <c r="I214" i="10" s="1"/>
  <c r="B215" i="10"/>
  <c r="I215" i="10" s="1"/>
  <c r="B216" i="10"/>
  <c r="I216" i="10" s="1"/>
  <c r="B217" i="10"/>
  <c r="I217" i="10" s="1"/>
  <c r="B218" i="10"/>
  <c r="I218" i="10" s="1"/>
  <c r="B219" i="10"/>
  <c r="I219" i="10" s="1"/>
  <c r="B220" i="10"/>
  <c r="I220" i="10" s="1"/>
  <c r="B221" i="10"/>
  <c r="I221" i="10" s="1"/>
  <c r="B222" i="10"/>
  <c r="I222" i="10" s="1"/>
  <c r="B223" i="10"/>
  <c r="I223" i="10" s="1"/>
  <c r="B224" i="10"/>
  <c r="I224" i="10" s="1"/>
  <c r="B225" i="10"/>
  <c r="I225" i="10" s="1"/>
  <c r="B226" i="10"/>
  <c r="I226" i="10" s="1"/>
  <c r="B227" i="10"/>
  <c r="I227" i="10" s="1"/>
  <c r="B228" i="10"/>
  <c r="I228" i="10" s="1"/>
  <c r="B229" i="10"/>
  <c r="I229" i="10" s="1"/>
  <c r="B230" i="10"/>
  <c r="I230" i="10" s="1"/>
  <c r="B231" i="10"/>
  <c r="I231" i="10" s="1"/>
  <c r="B232" i="10"/>
  <c r="I232" i="10" s="1"/>
  <c r="B233" i="10"/>
  <c r="I233" i="10" s="1"/>
  <c r="B234" i="10"/>
  <c r="I234" i="10" s="1"/>
  <c r="B235" i="10"/>
  <c r="I235" i="10" s="1"/>
  <c r="B236" i="10"/>
  <c r="I236" i="10" s="1"/>
  <c r="B237" i="10"/>
  <c r="I237" i="10" s="1"/>
  <c r="B238" i="10"/>
  <c r="I238" i="10" s="1"/>
  <c r="B239" i="10"/>
  <c r="I239" i="10" s="1"/>
  <c r="B240" i="10"/>
  <c r="I240" i="10" s="1"/>
  <c r="B241" i="10"/>
  <c r="I241" i="10" s="1"/>
  <c r="B242" i="10"/>
  <c r="I242" i="10" s="1"/>
  <c r="B243" i="10"/>
  <c r="I243" i="10" s="1"/>
  <c r="B244" i="10"/>
  <c r="I244" i="10" s="1"/>
  <c r="B245" i="10"/>
  <c r="I245" i="10" s="1"/>
  <c r="B246" i="10"/>
  <c r="I246" i="10" s="1"/>
  <c r="B247" i="10"/>
  <c r="I247" i="10" s="1"/>
  <c r="B248" i="10"/>
  <c r="I248" i="10" s="1"/>
  <c r="B249" i="10"/>
  <c r="I249" i="10" s="1"/>
  <c r="B250" i="10"/>
  <c r="I250" i="10" s="1"/>
  <c r="B251" i="10"/>
  <c r="I251" i="10" s="1"/>
  <c r="B252" i="10"/>
  <c r="I252" i="10" s="1"/>
  <c r="B253" i="10"/>
  <c r="I253" i="10" s="1"/>
  <c r="B254" i="10"/>
  <c r="I254" i="10" s="1"/>
  <c r="B255" i="10"/>
  <c r="I255" i="10" s="1"/>
  <c r="B256" i="10"/>
  <c r="I256" i="10" s="1"/>
  <c r="B257" i="10"/>
  <c r="I257" i="10" s="1"/>
  <c r="B258" i="10"/>
  <c r="I258" i="10" s="1"/>
  <c r="B259" i="10"/>
  <c r="I259" i="10" s="1"/>
  <c r="B260" i="10"/>
  <c r="I260" i="10" s="1"/>
  <c r="B261" i="10"/>
  <c r="I261" i="10" s="1"/>
  <c r="B262" i="10"/>
  <c r="I262" i="10" s="1"/>
  <c r="B263" i="10"/>
  <c r="I263" i="10" s="1"/>
  <c r="B264" i="10"/>
  <c r="I264" i="10" s="1"/>
  <c r="B265" i="10"/>
  <c r="I265" i="10" s="1"/>
  <c r="B266" i="10"/>
  <c r="I266" i="10" s="1"/>
  <c r="B267" i="10"/>
  <c r="I267" i="10" s="1"/>
  <c r="B268" i="10"/>
  <c r="I268" i="10" s="1"/>
  <c r="B269" i="10"/>
  <c r="I269" i="10" s="1"/>
  <c r="B270" i="10"/>
  <c r="I270" i="10" s="1"/>
  <c r="B271" i="10"/>
  <c r="I271" i="10" s="1"/>
  <c r="B272" i="10"/>
  <c r="I272" i="10" s="1"/>
  <c r="B273" i="10"/>
  <c r="I273" i="10" s="1"/>
  <c r="B274" i="10"/>
  <c r="I274" i="10" s="1"/>
  <c r="B275" i="10"/>
  <c r="I275" i="10" s="1"/>
  <c r="B276" i="10"/>
  <c r="I276" i="10" s="1"/>
  <c r="B277" i="10"/>
  <c r="I277" i="10" s="1"/>
  <c r="B278" i="10"/>
  <c r="I278" i="10" s="1"/>
  <c r="B279" i="10"/>
  <c r="I279" i="10" s="1"/>
  <c r="B280" i="10"/>
  <c r="I280" i="10" s="1"/>
  <c r="B281" i="10"/>
  <c r="I281" i="10" s="1"/>
  <c r="B282" i="10"/>
  <c r="I282" i="10" s="1"/>
  <c r="B283" i="10"/>
  <c r="I283" i="10" s="1"/>
  <c r="B284" i="10"/>
  <c r="I284" i="10" s="1"/>
  <c r="B285" i="10"/>
  <c r="I285" i="10" s="1"/>
  <c r="B286" i="10"/>
  <c r="I286" i="10" s="1"/>
  <c r="B287" i="10"/>
  <c r="I287" i="10" s="1"/>
  <c r="B288" i="10"/>
  <c r="I288" i="10" s="1"/>
  <c r="B289" i="10"/>
  <c r="I289" i="10" s="1"/>
  <c r="B290" i="10"/>
  <c r="I290" i="10" s="1"/>
  <c r="B291" i="10"/>
  <c r="I291" i="10" s="1"/>
  <c r="B292" i="10"/>
  <c r="I292" i="10" s="1"/>
  <c r="B293" i="10"/>
  <c r="I293" i="10" s="1"/>
  <c r="B294" i="10"/>
  <c r="I294" i="10" s="1"/>
  <c r="B295" i="10"/>
  <c r="I295" i="10" s="1"/>
  <c r="B296" i="10"/>
  <c r="I296" i="10" s="1"/>
  <c r="B297" i="10"/>
  <c r="I297" i="10" s="1"/>
  <c r="B298" i="10"/>
  <c r="I298" i="10" s="1"/>
  <c r="B299" i="10"/>
  <c r="I299" i="10" s="1"/>
  <c r="B300" i="10"/>
  <c r="I300" i="10" s="1"/>
  <c r="B201" i="10"/>
  <c r="I201" i="10" s="1"/>
  <c r="H202" i="10"/>
  <c r="H204" i="10"/>
  <c r="H205" i="10"/>
  <c r="H206" i="10"/>
  <c r="H207" i="10"/>
  <c r="H208" i="10"/>
  <c r="H210" i="10"/>
  <c r="H212" i="10"/>
  <c r="H213" i="10"/>
  <c r="H214" i="10"/>
  <c r="H216" i="10"/>
  <c r="H218" i="10"/>
  <c r="H220" i="10"/>
  <c r="H221" i="10"/>
  <c r="H222" i="10"/>
  <c r="H223" i="10"/>
  <c r="H224" i="10"/>
  <c r="H226" i="10"/>
  <c r="H228" i="10"/>
  <c r="H229" i="10"/>
  <c r="H230" i="10"/>
  <c r="H231" i="10"/>
  <c r="H232" i="10"/>
  <c r="H234" i="10"/>
  <c r="H236" i="10"/>
  <c r="H237" i="10"/>
  <c r="H238" i="10"/>
  <c r="H239" i="10"/>
  <c r="H240" i="10"/>
  <c r="H242" i="10"/>
  <c r="H244" i="10"/>
  <c r="H245" i="10"/>
  <c r="H246" i="10"/>
  <c r="H248" i="10"/>
  <c r="H250" i="10"/>
  <c r="H252" i="10"/>
  <c r="H253" i="10"/>
  <c r="H254" i="10"/>
  <c r="H255" i="10"/>
  <c r="H256" i="10"/>
  <c r="H258" i="10"/>
  <c r="H260" i="10"/>
  <c r="H261" i="10"/>
  <c r="H262" i="10"/>
  <c r="H263" i="10"/>
  <c r="H264" i="10"/>
  <c r="H266" i="10"/>
  <c r="H268" i="10"/>
  <c r="H269" i="10"/>
  <c r="H270" i="10"/>
  <c r="H271" i="10"/>
  <c r="H272" i="10"/>
  <c r="H274" i="10"/>
  <c r="H275" i="10"/>
  <c r="H276" i="10"/>
  <c r="H277" i="10"/>
  <c r="H278" i="10"/>
  <c r="H279" i="10"/>
  <c r="H280" i="10"/>
  <c r="H282" i="10"/>
  <c r="H284" i="10"/>
  <c r="H285" i="10"/>
  <c r="H286" i="10"/>
  <c r="H288" i="10"/>
  <c r="H290" i="10"/>
  <c r="H292" i="10"/>
  <c r="H293" i="10"/>
  <c r="H294" i="10"/>
  <c r="H295" i="10"/>
  <c r="H296" i="10"/>
  <c r="H298" i="10"/>
  <c r="H300" i="10"/>
  <c r="H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M23" i="20"/>
  <c r="I118" i="20"/>
  <c r="J116" i="20"/>
  <c r="J118" i="20" s="1"/>
  <c r="I116" i="20"/>
  <c r="K112" i="20"/>
  <c r="J97" i="20"/>
  <c r="K97" i="20" s="1"/>
  <c r="J96" i="20"/>
  <c r="K96" i="20" s="1"/>
  <c r="J95" i="20"/>
  <c r="K95" i="20" s="1"/>
  <c r="I87"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D211" i="20"/>
  <c r="D149" i="20"/>
  <c r="D150" i="20"/>
  <c r="D151" i="20"/>
  <c r="D163" i="20"/>
  <c r="D171" i="20"/>
  <c r="D202" i="20"/>
  <c r="D208" i="20"/>
  <c r="D152" i="20"/>
  <c r="D153" i="20"/>
  <c r="D192" i="20"/>
  <c r="D164" i="20"/>
  <c r="D172" i="20"/>
  <c r="D203" i="20"/>
  <c r="D179" i="20"/>
  <c r="D186" i="20"/>
  <c r="D156" i="20"/>
  <c r="D189" i="20"/>
  <c r="D160" i="20"/>
  <c r="D194" i="20"/>
  <c r="D196" i="20"/>
  <c r="D169" i="20"/>
  <c r="D176" i="20"/>
  <c r="D207" i="20"/>
  <c r="D182" i="20"/>
  <c r="D193" i="20"/>
  <c r="D165" i="20"/>
  <c r="D200" i="20"/>
  <c r="D173" i="20"/>
  <c r="D178" i="20"/>
  <c r="D181" i="20"/>
  <c r="D184" i="20"/>
  <c r="D154" i="20"/>
  <c r="D158" i="20"/>
  <c r="D190" i="20"/>
  <c r="D161" i="20"/>
  <c r="D195" i="20"/>
  <c r="D205" i="20"/>
  <c r="D183" i="20"/>
  <c r="D157" i="20"/>
  <c r="D166" i="20"/>
  <c r="D170" i="20"/>
  <c r="D201" i="20"/>
  <c r="D204" i="20"/>
  <c r="D206" i="20"/>
  <c r="D209" i="20"/>
  <c r="D180" i="20"/>
  <c r="D210" i="20"/>
  <c r="D188" i="20"/>
  <c r="D159" i="20"/>
  <c r="D191" i="20"/>
  <c r="D162" i="20"/>
  <c r="D199" i="20"/>
  <c r="D174" i="20"/>
  <c r="D177" i="20"/>
  <c r="D185" i="20"/>
  <c r="D155" i="20"/>
  <c r="D187" i="20"/>
  <c r="D197" i="20"/>
  <c r="D198" i="20"/>
  <c r="D167" i="20"/>
  <c r="D168" i="20"/>
  <c r="D175" i="20"/>
  <c r="M18" i="20"/>
  <c r="M17" i="20"/>
  <c r="M5" i="20"/>
  <c r="M7" i="20" s="1"/>
  <c r="L26" i="20"/>
  <c r="M26" i="20" s="1"/>
  <c r="M25" i="20"/>
  <c r="X32" i="20"/>
  <c r="Y32" i="20" s="1"/>
  <c r="Z32" i="20" s="1"/>
  <c r="X33" i="20"/>
  <c r="Y33" i="20" s="1"/>
  <c r="Z33" i="20" s="1"/>
  <c r="X34" i="20"/>
  <c r="Y34" i="20" s="1"/>
  <c r="Z34" i="20" s="1"/>
  <c r="X35" i="20"/>
  <c r="Y35" i="20" s="1"/>
  <c r="Z35" i="20" s="1"/>
  <c r="X36" i="20"/>
  <c r="Y36" i="20" s="1"/>
  <c r="Z36" i="20" s="1"/>
  <c r="X37" i="20"/>
  <c r="Y37" i="20" s="1"/>
  <c r="Z37" i="20" s="1"/>
  <c r="X38" i="20"/>
  <c r="Y38" i="20" s="1"/>
  <c r="Z38" i="20" s="1"/>
  <c r="X39" i="20"/>
  <c r="Y39" i="20" s="1"/>
  <c r="Z39" i="20" s="1"/>
  <c r="X40" i="20"/>
  <c r="Y40" i="20" s="1"/>
  <c r="Z40" i="20" s="1"/>
  <c r="X41" i="20"/>
  <c r="Y41" i="20" s="1"/>
  <c r="Z41" i="20" s="1"/>
  <c r="X42" i="20"/>
  <c r="Y42" i="20" s="1"/>
  <c r="Z42" i="20" s="1"/>
  <c r="X43" i="20"/>
  <c r="Y43" i="20" s="1"/>
  <c r="Z43" i="20" s="1"/>
  <c r="X44" i="20"/>
  <c r="Y44" i="20" s="1"/>
  <c r="Z44" i="20" s="1"/>
  <c r="X45" i="20"/>
  <c r="Y45" i="20" s="1"/>
  <c r="Z45" i="20" s="1"/>
  <c r="X46" i="20"/>
  <c r="Y46" i="20" s="1"/>
  <c r="Z46" i="20" s="1"/>
  <c r="X47" i="20"/>
  <c r="Y47" i="20" s="1"/>
  <c r="Z47" i="20" s="1"/>
  <c r="X48" i="20"/>
  <c r="Y48" i="20" s="1"/>
  <c r="Z48" i="20" s="1"/>
  <c r="X49" i="20"/>
  <c r="Y49" i="20" s="1"/>
  <c r="Z49" i="20" s="1"/>
  <c r="X50" i="20"/>
  <c r="Y50" i="20" s="1"/>
  <c r="Z50" i="20" s="1"/>
  <c r="X51" i="20"/>
  <c r="Y51" i="20" s="1"/>
  <c r="Z51" i="20" s="1"/>
  <c r="X52" i="20"/>
  <c r="Y52" i="20" s="1"/>
  <c r="Z52" i="20" s="1"/>
  <c r="X53" i="20"/>
  <c r="Y53" i="20" s="1"/>
  <c r="Z53" i="20" s="1"/>
  <c r="X54" i="20"/>
  <c r="Y54" i="20" s="1"/>
  <c r="Z54" i="20" s="1"/>
  <c r="X55" i="20"/>
  <c r="Y55" i="20" s="1"/>
  <c r="Z55" i="20" s="1"/>
  <c r="X56" i="20"/>
  <c r="Y56" i="20" s="1"/>
  <c r="Z56" i="20" s="1"/>
  <c r="X57" i="20"/>
  <c r="Y57" i="20" s="1"/>
  <c r="Z57" i="20" s="1"/>
  <c r="X58" i="20"/>
  <c r="Y58" i="20" s="1"/>
  <c r="Z58" i="20" s="1"/>
  <c r="X59" i="20"/>
  <c r="Y59" i="20" s="1"/>
  <c r="Z59" i="20" s="1"/>
  <c r="X60" i="20"/>
  <c r="Y60" i="20" s="1"/>
  <c r="Z60" i="20" s="1"/>
  <c r="X61" i="20"/>
  <c r="Y61" i="20" s="1"/>
  <c r="Z61" i="20" s="1"/>
  <c r="X62" i="20"/>
  <c r="Y62" i="20" s="1"/>
  <c r="Z62" i="20" s="1"/>
  <c r="X63" i="20"/>
  <c r="Y63" i="20" s="1"/>
  <c r="Z63" i="20" s="1"/>
  <c r="X64" i="20"/>
  <c r="Y64" i="20" s="1"/>
  <c r="Z64" i="20" s="1"/>
  <c r="X65" i="20"/>
  <c r="Y65" i="20" s="1"/>
  <c r="Z65" i="20" s="1"/>
  <c r="X66" i="20"/>
  <c r="Y66" i="20" s="1"/>
  <c r="Z66" i="20" s="1"/>
  <c r="X67" i="20"/>
  <c r="Y67" i="20" s="1"/>
  <c r="Z67" i="20" s="1"/>
  <c r="X68" i="20"/>
  <c r="Y68" i="20" s="1"/>
  <c r="Z68" i="20" s="1"/>
  <c r="X69" i="20"/>
  <c r="Y69" i="20" s="1"/>
  <c r="Z69" i="20" s="1"/>
  <c r="X70" i="20"/>
  <c r="Y70" i="20" s="1"/>
  <c r="Z70" i="20" s="1"/>
  <c r="X71" i="20"/>
  <c r="Y71" i="20" s="1"/>
  <c r="Z71" i="20" s="1"/>
  <c r="X72" i="20"/>
  <c r="Y72" i="20" s="1"/>
  <c r="Z72" i="20" s="1"/>
  <c r="X31" i="20"/>
  <c r="Y31" i="20" s="1"/>
  <c r="Z31" i="20" s="1"/>
  <c r="AA32" i="20"/>
  <c r="AA33" i="20"/>
  <c r="AA34" i="20"/>
  <c r="AA35" i="20"/>
  <c r="AA36" i="20"/>
  <c r="AA37" i="20"/>
  <c r="AA38" i="20"/>
  <c r="AA39" i="20"/>
  <c r="AA40" i="20"/>
  <c r="AA41" i="20"/>
  <c r="AA42" i="20"/>
  <c r="AA43" i="20"/>
  <c r="AA44" i="20"/>
  <c r="AA45" i="20"/>
  <c r="AA46" i="20"/>
  <c r="AA47" i="20"/>
  <c r="AA48" i="20"/>
  <c r="AA49" i="20"/>
  <c r="AA50" i="20"/>
  <c r="AA51" i="20"/>
  <c r="AA52" i="20"/>
  <c r="AA53" i="20"/>
  <c r="AA54" i="20"/>
  <c r="AA55" i="20"/>
  <c r="AA56" i="20"/>
  <c r="AA57" i="20"/>
  <c r="AA58" i="20"/>
  <c r="AA59" i="20"/>
  <c r="AA60" i="20"/>
  <c r="AA61" i="20"/>
  <c r="AA62" i="20"/>
  <c r="AA63" i="20"/>
  <c r="AA64" i="20"/>
  <c r="AA65" i="20"/>
  <c r="AA66" i="20"/>
  <c r="AA67" i="20"/>
  <c r="AA68" i="20"/>
  <c r="AA69" i="20"/>
  <c r="AA70" i="20"/>
  <c r="AA71" i="20"/>
  <c r="AA72" i="20"/>
  <c r="AA31" i="20"/>
  <c r="M20" i="20"/>
  <c r="M15" i="20"/>
  <c r="M14" i="20"/>
  <c r="M13" i="20"/>
  <c r="M12" i="20"/>
  <c r="L10" i="20"/>
  <c r="M10" i="20" s="1"/>
  <c r="E181" i="18"/>
  <c r="F126" i="18"/>
  <c r="D170" i="18"/>
  <c r="C170" i="18"/>
  <c r="C194" i="19"/>
  <c r="C193" i="19"/>
  <c r="C192" i="19"/>
  <c r="D98" i="18"/>
  <c r="D97" i="18"/>
  <c r="D96" i="18"/>
  <c r="D95" i="18"/>
  <c r="D94" i="18"/>
  <c r="D93" i="18"/>
  <c r="D92" i="18"/>
  <c r="D91" i="18"/>
  <c r="D90" i="18"/>
  <c r="D89" i="18"/>
  <c r="D83" i="18"/>
  <c r="D82" i="18"/>
  <c r="D81" i="18"/>
  <c r="D80" i="18"/>
  <c r="D79" i="18"/>
  <c r="D78" i="18"/>
  <c r="D77" i="18"/>
  <c r="D76" i="18"/>
  <c r="D75" i="18"/>
  <c r="D74" i="18"/>
  <c r="G22" i="19"/>
  <c r="G23" i="19"/>
  <c r="G24" i="19"/>
  <c r="G25" i="19"/>
  <c r="E163" i="19"/>
  <c r="E164" i="19"/>
  <c r="E165" i="19"/>
  <c r="E166" i="19"/>
  <c r="E167" i="19"/>
  <c r="E168" i="19"/>
  <c r="E169" i="19"/>
  <c r="E170" i="19"/>
  <c r="E171" i="19"/>
  <c r="E162" i="19"/>
  <c r="D163" i="19"/>
  <c r="D164" i="19"/>
  <c r="D165" i="19"/>
  <c r="D166" i="19"/>
  <c r="D167" i="19"/>
  <c r="D168" i="19"/>
  <c r="D169" i="19"/>
  <c r="D170" i="19"/>
  <c r="D171" i="19"/>
  <c r="D162" i="19"/>
  <c r="C146" i="19"/>
  <c r="C148" i="19"/>
  <c r="C144" i="19"/>
  <c r="C142" i="19"/>
  <c r="C140" i="19"/>
  <c r="C110" i="19"/>
  <c r="C108" i="19"/>
  <c r="C106" i="19"/>
  <c r="C104" i="19"/>
  <c r="C25" i="19"/>
  <c r="C24" i="19"/>
  <c r="C23" i="19"/>
  <c r="C22" i="19"/>
  <c r="J43" i="1"/>
  <c r="J36" i="1"/>
  <c r="K36" i="1" s="1"/>
  <c r="I32" i="1"/>
  <c r="K32" i="1" s="1"/>
  <c r="K28" i="1"/>
  <c r="E205" i="16"/>
  <c r="F205" i="16" s="1"/>
  <c r="G205" i="16" s="1"/>
  <c r="H205" i="16" s="1"/>
  <c r="I205" i="16" s="1"/>
  <c r="J205" i="16" s="1"/>
  <c r="E206" i="16"/>
  <c r="F206" i="16" s="1"/>
  <c r="G206" i="16" s="1"/>
  <c r="H206" i="16" s="1"/>
  <c r="I206" i="16" s="1"/>
  <c r="J206" i="16" s="1"/>
  <c r="E207" i="16"/>
  <c r="F207" i="16" s="1"/>
  <c r="G207" i="16" s="1"/>
  <c r="H207" i="16" s="1"/>
  <c r="I207" i="16" s="1"/>
  <c r="J207" i="16" s="1"/>
  <c r="E208" i="16"/>
  <c r="F208" i="16" s="1"/>
  <c r="G208" i="16" s="1"/>
  <c r="H208" i="16" s="1"/>
  <c r="I208" i="16" s="1"/>
  <c r="J208" i="16" s="1"/>
  <c r="E209" i="16"/>
  <c r="F209" i="16" s="1"/>
  <c r="G209" i="16" s="1"/>
  <c r="H209" i="16" s="1"/>
  <c r="I209" i="16" s="1"/>
  <c r="J209" i="16" s="1"/>
  <c r="E210" i="16"/>
  <c r="F210" i="16" s="1"/>
  <c r="G210" i="16" s="1"/>
  <c r="H210" i="16" s="1"/>
  <c r="I210" i="16" s="1"/>
  <c r="J210" i="16" s="1"/>
  <c r="E211" i="16"/>
  <c r="F211" i="16" s="1"/>
  <c r="G211" i="16" s="1"/>
  <c r="H211" i="16" s="1"/>
  <c r="I211" i="16" s="1"/>
  <c r="J211" i="16" s="1"/>
  <c r="E212" i="16"/>
  <c r="F212" i="16" s="1"/>
  <c r="G212" i="16" s="1"/>
  <c r="H212" i="16" s="1"/>
  <c r="I212" i="16" s="1"/>
  <c r="J212" i="16" s="1"/>
  <c r="E213" i="16"/>
  <c r="F213" i="16" s="1"/>
  <c r="G213" i="16" s="1"/>
  <c r="H213" i="16" s="1"/>
  <c r="I213" i="16" s="1"/>
  <c r="J213" i="16" s="1"/>
  <c r="E214" i="16"/>
  <c r="F214" i="16" s="1"/>
  <c r="G214" i="16" s="1"/>
  <c r="H214" i="16" s="1"/>
  <c r="I214" i="16" s="1"/>
  <c r="J214" i="16" s="1"/>
  <c r="E215" i="16"/>
  <c r="F215" i="16" s="1"/>
  <c r="G215" i="16" s="1"/>
  <c r="H215" i="16" s="1"/>
  <c r="I215" i="16" s="1"/>
  <c r="J215" i="16" s="1"/>
  <c r="E216" i="16"/>
  <c r="F216" i="16" s="1"/>
  <c r="G216" i="16" s="1"/>
  <c r="H216" i="16" s="1"/>
  <c r="I216" i="16" s="1"/>
  <c r="J216" i="16" s="1"/>
  <c r="E217" i="16"/>
  <c r="F217" i="16" s="1"/>
  <c r="G217" i="16" s="1"/>
  <c r="H217" i="16" s="1"/>
  <c r="I217" i="16" s="1"/>
  <c r="J217" i="16" s="1"/>
  <c r="E218" i="16"/>
  <c r="F218" i="16" s="1"/>
  <c r="G218" i="16" s="1"/>
  <c r="H218" i="16" s="1"/>
  <c r="I218" i="16" s="1"/>
  <c r="J218" i="16" s="1"/>
  <c r="E219" i="16"/>
  <c r="F219" i="16" s="1"/>
  <c r="G219" i="16" s="1"/>
  <c r="H219" i="16" s="1"/>
  <c r="I219" i="16" s="1"/>
  <c r="J219" i="16" s="1"/>
  <c r="E220" i="16"/>
  <c r="F220" i="16" s="1"/>
  <c r="G220" i="16" s="1"/>
  <c r="H220" i="16" s="1"/>
  <c r="I220" i="16" s="1"/>
  <c r="J220" i="16" s="1"/>
  <c r="E221" i="16"/>
  <c r="F221" i="16" s="1"/>
  <c r="G221" i="16" s="1"/>
  <c r="H221" i="16" s="1"/>
  <c r="I221" i="16" s="1"/>
  <c r="J221" i="16" s="1"/>
  <c r="E222" i="16"/>
  <c r="F222" i="16" s="1"/>
  <c r="G222" i="16" s="1"/>
  <c r="H222" i="16" s="1"/>
  <c r="I222" i="16" s="1"/>
  <c r="J222" i="16" s="1"/>
  <c r="E223" i="16"/>
  <c r="F223" i="16" s="1"/>
  <c r="G223" i="16" s="1"/>
  <c r="H223" i="16" s="1"/>
  <c r="I223" i="16" s="1"/>
  <c r="J223" i="16" s="1"/>
  <c r="E224" i="16"/>
  <c r="F224" i="16" s="1"/>
  <c r="G224" i="16" s="1"/>
  <c r="H224" i="16" s="1"/>
  <c r="I224" i="16" s="1"/>
  <c r="J224" i="16" s="1"/>
  <c r="E225" i="16"/>
  <c r="F225" i="16" s="1"/>
  <c r="G225" i="16" s="1"/>
  <c r="H225" i="16" s="1"/>
  <c r="I225" i="16" s="1"/>
  <c r="J225" i="16" s="1"/>
  <c r="E226" i="16"/>
  <c r="F226" i="16" s="1"/>
  <c r="G226" i="16" s="1"/>
  <c r="H226" i="16" s="1"/>
  <c r="I226" i="16" s="1"/>
  <c r="J226" i="16" s="1"/>
  <c r="E227" i="16"/>
  <c r="F227" i="16" s="1"/>
  <c r="G227" i="16" s="1"/>
  <c r="H227" i="16" s="1"/>
  <c r="I227" i="16" s="1"/>
  <c r="J227" i="16" s="1"/>
  <c r="E228" i="16"/>
  <c r="F228" i="16" s="1"/>
  <c r="G228" i="16" s="1"/>
  <c r="H228" i="16" s="1"/>
  <c r="I228" i="16" s="1"/>
  <c r="J228" i="16" s="1"/>
  <c r="E229" i="16"/>
  <c r="F229" i="16" s="1"/>
  <c r="G229" i="16" s="1"/>
  <c r="H229" i="16" s="1"/>
  <c r="I229" i="16" s="1"/>
  <c r="J229" i="16" s="1"/>
  <c r="E230" i="16"/>
  <c r="F230" i="16" s="1"/>
  <c r="G230" i="16" s="1"/>
  <c r="H230" i="16" s="1"/>
  <c r="I230" i="16" s="1"/>
  <c r="J230" i="16" s="1"/>
  <c r="E231" i="16"/>
  <c r="F231" i="16" s="1"/>
  <c r="G231" i="16" s="1"/>
  <c r="H231" i="16" s="1"/>
  <c r="I231" i="16" s="1"/>
  <c r="J231" i="16" s="1"/>
  <c r="E232" i="16"/>
  <c r="F232" i="16" s="1"/>
  <c r="G232" i="16" s="1"/>
  <c r="H232" i="16" s="1"/>
  <c r="I232" i="16" s="1"/>
  <c r="J232" i="16" s="1"/>
  <c r="E233" i="16"/>
  <c r="F233" i="16" s="1"/>
  <c r="G233" i="16" s="1"/>
  <c r="H233" i="16" s="1"/>
  <c r="I233" i="16" s="1"/>
  <c r="J233" i="16" s="1"/>
  <c r="E234" i="16"/>
  <c r="F234" i="16" s="1"/>
  <c r="G234" i="16" s="1"/>
  <c r="H234" i="16" s="1"/>
  <c r="I234" i="16" s="1"/>
  <c r="J234" i="16" s="1"/>
  <c r="E235" i="16"/>
  <c r="F235" i="16" s="1"/>
  <c r="G235" i="16" s="1"/>
  <c r="H235" i="16" s="1"/>
  <c r="I235" i="16" s="1"/>
  <c r="J235" i="16" s="1"/>
  <c r="E236" i="16"/>
  <c r="F236" i="16" s="1"/>
  <c r="G236" i="16" s="1"/>
  <c r="H236" i="16" s="1"/>
  <c r="I236" i="16" s="1"/>
  <c r="J236" i="16" s="1"/>
  <c r="E237" i="16"/>
  <c r="F237" i="16" s="1"/>
  <c r="G237" i="16" s="1"/>
  <c r="H237" i="16" s="1"/>
  <c r="I237" i="16" s="1"/>
  <c r="J237" i="16" s="1"/>
  <c r="E238" i="16"/>
  <c r="F238" i="16" s="1"/>
  <c r="G238" i="16" s="1"/>
  <c r="H238" i="16" s="1"/>
  <c r="I238" i="16" s="1"/>
  <c r="J238" i="16" s="1"/>
  <c r="E239" i="16"/>
  <c r="F239" i="16" s="1"/>
  <c r="G239" i="16" s="1"/>
  <c r="H239" i="16" s="1"/>
  <c r="I239" i="16" s="1"/>
  <c r="J239" i="16" s="1"/>
  <c r="E240" i="16"/>
  <c r="F240" i="16" s="1"/>
  <c r="G240" i="16" s="1"/>
  <c r="H240" i="16" s="1"/>
  <c r="I240" i="16" s="1"/>
  <c r="J240" i="16" s="1"/>
  <c r="E241" i="16"/>
  <c r="F241" i="16" s="1"/>
  <c r="G241" i="16" s="1"/>
  <c r="H241" i="16" s="1"/>
  <c r="I241" i="16" s="1"/>
  <c r="J241" i="16" s="1"/>
  <c r="E242" i="16"/>
  <c r="F242" i="16" s="1"/>
  <c r="G242" i="16" s="1"/>
  <c r="H242" i="16" s="1"/>
  <c r="I242" i="16" s="1"/>
  <c r="J242" i="16" s="1"/>
  <c r="E243" i="16"/>
  <c r="F243" i="16" s="1"/>
  <c r="G243" i="16" s="1"/>
  <c r="H243" i="16" s="1"/>
  <c r="I243" i="16" s="1"/>
  <c r="J243" i="16" s="1"/>
  <c r="E244" i="16"/>
  <c r="F244" i="16" s="1"/>
  <c r="G244" i="16" s="1"/>
  <c r="H244" i="16" s="1"/>
  <c r="I244" i="16" s="1"/>
  <c r="J244" i="16" s="1"/>
  <c r="E245" i="16"/>
  <c r="F245" i="16" s="1"/>
  <c r="G245" i="16" s="1"/>
  <c r="H245" i="16" s="1"/>
  <c r="I245" i="16" s="1"/>
  <c r="J245" i="16" s="1"/>
  <c r="E246" i="16"/>
  <c r="F246" i="16" s="1"/>
  <c r="G246" i="16" s="1"/>
  <c r="H246" i="16" s="1"/>
  <c r="I246" i="16" s="1"/>
  <c r="J246" i="16" s="1"/>
  <c r="E247" i="16"/>
  <c r="F247" i="16" s="1"/>
  <c r="G247" i="16" s="1"/>
  <c r="H247" i="16" s="1"/>
  <c r="I247" i="16" s="1"/>
  <c r="J247" i="16" s="1"/>
  <c r="E248" i="16"/>
  <c r="F248" i="16" s="1"/>
  <c r="G248" i="16" s="1"/>
  <c r="H248" i="16" s="1"/>
  <c r="I248" i="16" s="1"/>
  <c r="J248" i="16" s="1"/>
  <c r="E249" i="16"/>
  <c r="F249" i="16" s="1"/>
  <c r="G249" i="16" s="1"/>
  <c r="H249" i="16" s="1"/>
  <c r="I249" i="16" s="1"/>
  <c r="J249" i="16" s="1"/>
  <c r="E250" i="16"/>
  <c r="F250" i="16" s="1"/>
  <c r="G250" i="16" s="1"/>
  <c r="H250" i="16" s="1"/>
  <c r="I250" i="16" s="1"/>
  <c r="J250" i="16" s="1"/>
  <c r="E251" i="16"/>
  <c r="F251" i="16" s="1"/>
  <c r="G251" i="16" s="1"/>
  <c r="H251" i="16" s="1"/>
  <c r="I251" i="16" s="1"/>
  <c r="J251" i="16" s="1"/>
  <c r="E252" i="16"/>
  <c r="F252" i="16" s="1"/>
  <c r="G252" i="16" s="1"/>
  <c r="H252" i="16" s="1"/>
  <c r="I252" i="16" s="1"/>
  <c r="J252" i="16" s="1"/>
  <c r="E253" i="16"/>
  <c r="F253" i="16" s="1"/>
  <c r="G253" i="16" s="1"/>
  <c r="H253" i="16" s="1"/>
  <c r="I253" i="16" s="1"/>
  <c r="J253" i="16" s="1"/>
  <c r="E254" i="16"/>
  <c r="F254" i="16" s="1"/>
  <c r="G254" i="16" s="1"/>
  <c r="H254" i="16" s="1"/>
  <c r="I254" i="16" s="1"/>
  <c r="J254" i="16" s="1"/>
  <c r="E255" i="16"/>
  <c r="F255" i="16" s="1"/>
  <c r="G255" i="16" s="1"/>
  <c r="H255" i="16" s="1"/>
  <c r="I255" i="16" s="1"/>
  <c r="J255" i="16" s="1"/>
  <c r="E256" i="16"/>
  <c r="F256" i="16" s="1"/>
  <c r="G256" i="16" s="1"/>
  <c r="H256" i="16" s="1"/>
  <c r="I256" i="16" s="1"/>
  <c r="J256" i="16" s="1"/>
  <c r="E257" i="16"/>
  <c r="F257" i="16" s="1"/>
  <c r="G257" i="16" s="1"/>
  <c r="H257" i="16" s="1"/>
  <c r="I257" i="16" s="1"/>
  <c r="J257" i="16" s="1"/>
  <c r="E258" i="16"/>
  <c r="F258" i="16" s="1"/>
  <c r="G258" i="16" s="1"/>
  <c r="H258" i="16" s="1"/>
  <c r="I258" i="16" s="1"/>
  <c r="J258" i="16" s="1"/>
  <c r="E259" i="16"/>
  <c r="F259" i="16" s="1"/>
  <c r="G259" i="16" s="1"/>
  <c r="H259" i="16" s="1"/>
  <c r="I259" i="16" s="1"/>
  <c r="J259" i="16" s="1"/>
  <c r="E260" i="16"/>
  <c r="F260" i="16" s="1"/>
  <c r="G260" i="16" s="1"/>
  <c r="H260" i="16" s="1"/>
  <c r="I260" i="16" s="1"/>
  <c r="J260" i="16" s="1"/>
  <c r="E261" i="16"/>
  <c r="F261" i="16" s="1"/>
  <c r="G261" i="16" s="1"/>
  <c r="H261" i="16" s="1"/>
  <c r="I261" i="16" s="1"/>
  <c r="J261" i="16" s="1"/>
  <c r="E262" i="16"/>
  <c r="F262" i="16" s="1"/>
  <c r="G262" i="16" s="1"/>
  <c r="H262" i="16" s="1"/>
  <c r="I262" i="16" s="1"/>
  <c r="J262" i="16" s="1"/>
  <c r="E263" i="16"/>
  <c r="F263" i="16" s="1"/>
  <c r="G263" i="16" s="1"/>
  <c r="H263" i="16" s="1"/>
  <c r="I263" i="16" s="1"/>
  <c r="J263" i="16" s="1"/>
  <c r="E264" i="16"/>
  <c r="F264" i="16" s="1"/>
  <c r="G264" i="16" s="1"/>
  <c r="H264" i="16" s="1"/>
  <c r="I264" i="16" s="1"/>
  <c r="J264" i="16" s="1"/>
  <c r="E265" i="16"/>
  <c r="F265" i="16" s="1"/>
  <c r="G265" i="16" s="1"/>
  <c r="H265" i="16" s="1"/>
  <c r="I265" i="16" s="1"/>
  <c r="J265" i="16" s="1"/>
  <c r="E266" i="16"/>
  <c r="F266" i="16" s="1"/>
  <c r="G266" i="16" s="1"/>
  <c r="H266" i="16" s="1"/>
  <c r="I266" i="16" s="1"/>
  <c r="J266" i="16" s="1"/>
  <c r="E267" i="16"/>
  <c r="F267" i="16" s="1"/>
  <c r="G267" i="16" s="1"/>
  <c r="H267" i="16" s="1"/>
  <c r="I267" i="16" s="1"/>
  <c r="J267" i="16" s="1"/>
  <c r="E268" i="16"/>
  <c r="F268" i="16" s="1"/>
  <c r="G268" i="16" s="1"/>
  <c r="H268" i="16" s="1"/>
  <c r="I268" i="16" s="1"/>
  <c r="J268" i="16" s="1"/>
  <c r="E269" i="16"/>
  <c r="F269" i="16" s="1"/>
  <c r="G269" i="16" s="1"/>
  <c r="H269" i="16" s="1"/>
  <c r="I269" i="16" s="1"/>
  <c r="J269" i="16" s="1"/>
  <c r="E270" i="16"/>
  <c r="F270" i="16" s="1"/>
  <c r="G270" i="16" s="1"/>
  <c r="H270" i="16" s="1"/>
  <c r="I270" i="16" s="1"/>
  <c r="J270" i="16" s="1"/>
  <c r="E271" i="16"/>
  <c r="F271" i="16" s="1"/>
  <c r="G271" i="16" s="1"/>
  <c r="H271" i="16" s="1"/>
  <c r="I271" i="16" s="1"/>
  <c r="J271" i="16" s="1"/>
  <c r="E272" i="16"/>
  <c r="F272" i="16" s="1"/>
  <c r="G272" i="16" s="1"/>
  <c r="H272" i="16" s="1"/>
  <c r="I272" i="16" s="1"/>
  <c r="J272" i="16" s="1"/>
  <c r="E273" i="16"/>
  <c r="F273" i="16" s="1"/>
  <c r="G273" i="16" s="1"/>
  <c r="H273" i="16" s="1"/>
  <c r="I273" i="16" s="1"/>
  <c r="J273" i="16" s="1"/>
  <c r="E274" i="16"/>
  <c r="F274" i="16" s="1"/>
  <c r="G274" i="16" s="1"/>
  <c r="H274" i="16" s="1"/>
  <c r="I274" i="16" s="1"/>
  <c r="J274" i="16" s="1"/>
  <c r="E275" i="16"/>
  <c r="F275" i="16" s="1"/>
  <c r="G275" i="16" s="1"/>
  <c r="H275" i="16" s="1"/>
  <c r="I275" i="16" s="1"/>
  <c r="J275" i="16" s="1"/>
  <c r="E276" i="16"/>
  <c r="F276" i="16" s="1"/>
  <c r="G276" i="16" s="1"/>
  <c r="H276" i="16" s="1"/>
  <c r="I276" i="16" s="1"/>
  <c r="J276" i="16" s="1"/>
  <c r="E277" i="16"/>
  <c r="F277" i="16" s="1"/>
  <c r="G277" i="16" s="1"/>
  <c r="H277" i="16" s="1"/>
  <c r="I277" i="16" s="1"/>
  <c r="J277" i="16" s="1"/>
  <c r="E278" i="16"/>
  <c r="F278" i="16" s="1"/>
  <c r="G278" i="16" s="1"/>
  <c r="H278" i="16" s="1"/>
  <c r="I278" i="16" s="1"/>
  <c r="J278" i="16" s="1"/>
  <c r="E279" i="16"/>
  <c r="F279" i="16" s="1"/>
  <c r="G279" i="16" s="1"/>
  <c r="H279" i="16" s="1"/>
  <c r="I279" i="16" s="1"/>
  <c r="J279" i="16" s="1"/>
  <c r="E280" i="16"/>
  <c r="F280" i="16" s="1"/>
  <c r="G280" i="16" s="1"/>
  <c r="H280" i="16" s="1"/>
  <c r="I280" i="16" s="1"/>
  <c r="J280" i="16" s="1"/>
  <c r="E281" i="16"/>
  <c r="F281" i="16" s="1"/>
  <c r="G281" i="16" s="1"/>
  <c r="H281" i="16" s="1"/>
  <c r="I281" i="16" s="1"/>
  <c r="J281" i="16" s="1"/>
  <c r="E282" i="16"/>
  <c r="F282" i="16" s="1"/>
  <c r="G282" i="16" s="1"/>
  <c r="H282" i="16" s="1"/>
  <c r="I282" i="16" s="1"/>
  <c r="J282" i="16" s="1"/>
  <c r="E283" i="16"/>
  <c r="F283" i="16" s="1"/>
  <c r="G283" i="16" s="1"/>
  <c r="H283" i="16" s="1"/>
  <c r="I283" i="16" s="1"/>
  <c r="J283" i="16" s="1"/>
  <c r="E284" i="16"/>
  <c r="F284" i="16" s="1"/>
  <c r="G284" i="16" s="1"/>
  <c r="H284" i="16" s="1"/>
  <c r="I284" i="16" s="1"/>
  <c r="J284" i="16" s="1"/>
  <c r="E285" i="16"/>
  <c r="F285" i="16" s="1"/>
  <c r="G285" i="16" s="1"/>
  <c r="H285" i="16" s="1"/>
  <c r="I285" i="16" s="1"/>
  <c r="J285" i="16" s="1"/>
  <c r="E286" i="16"/>
  <c r="F286" i="16" s="1"/>
  <c r="G286" i="16" s="1"/>
  <c r="H286" i="16" s="1"/>
  <c r="I286" i="16" s="1"/>
  <c r="J286" i="16" s="1"/>
  <c r="E287" i="16"/>
  <c r="F287" i="16" s="1"/>
  <c r="G287" i="16" s="1"/>
  <c r="H287" i="16" s="1"/>
  <c r="I287" i="16" s="1"/>
  <c r="J287" i="16" s="1"/>
  <c r="E288" i="16"/>
  <c r="F288" i="16" s="1"/>
  <c r="G288" i="16" s="1"/>
  <c r="H288" i="16" s="1"/>
  <c r="I288" i="16" s="1"/>
  <c r="J288" i="16" s="1"/>
  <c r="E289" i="16"/>
  <c r="F289" i="16" s="1"/>
  <c r="G289" i="16" s="1"/>
  <c r="H289" i="16" s="1"/>
  <c r="I289" i="16" s="1"/>
  <c r="J289" i="16" s="1"/>
  <c r="E290" i="16"/>
  <c r="F290" i="16" s="1"/>
  <c r="G290" i="16" s="1"/>
  <c r="H290" i="16" s="1"/>
  <c r="I290" i="16" s="1"/>
  <c r="J290" i="16" s="1"/>
  <c r="E291" i="16"/>
  <c r="F291" i="16" s="1"/>
  <c r="G291" i="16" s="1"/>
  <c r="H291" i="16" s="1"/>
  <c r="I291" i="16" s="1"/>
  <c r="J291" i="16" s="1"/>
  <c r="E292" i="16"/>
  <c r="F292" i="16" s="1"/>
  <c r="G292" i="16" s="1"/>
  <c r="H292" i="16" s="1"/>
  <c r="I292" i="16" s="1"/>
  <c r="J292" i="16" s="1"/>
  <c r="E293" i="16"/>
  <c r="F293" i="16" s="1"/>
  <c r="G293" i="16" s="1"/>
  <c r="H293" i="16" s="1"/>
  <c r="I293" i="16" s="1"/>
  <c r="J293" i="16" s="1"/>
  <c r="E294" i="16"/>
  <c r="F294" i="16" s="1"/>
  <c r="G294" i="16" s="1"/>
  <c r="H294" i="16" s="1"/>
  <c r="I294" i="16" s="1"/>
  <c r="J294" i="16" s="1"/>
  <c r="E295" i="16"/>
  <c r="F295" i="16" s="1"/>
  <c r="G295" i="16" s="1"/>
  <c r="H295" i="16" s="1"/>
  <c r="I295" i="16" s="1"/>
  <c r="J295" i="16" s="1"/>
  <c r="E296" i="16"/>
  <c r="F296" i="16" s="1"/>
  <c r="G296" i="16" s="1"/>
  <c r="H296" i="16" s="1"/>
  <c r="I296" i="16" s="1"/>
  <c r="J296" i="16" s="1"/>
  <c r="E297" i="16"/>
  <c r="F297" i="16" s="1"/>
  <c r="G297" i="16" s="1"/>
  <c r="H297" i="16" s="1"/>
  <c r="I297" i="16" s="1"/>
  <c r="J297" i="16" s="1"/>
  <c r="E204" i="16"/>
  <c r="F204" i="16" s="1"/>
  <c r="G204" i="16" s="1"/>
  <c r="H204" i="16" s="1"/>
  <c r="I204" i="16" s="1"/>
  <c r="J204" i="16" s="1"/>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15"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8" i="16"/>
  <c r="D32" i="10"/>
  <c r="D28" i="10"/>
  <c r="D33" i="10" s="1"/>
  <c r="D27" i="10"/>
  <c r="D31" i="10" s="1"/>
  <c r="D34" i="10" s="1"/>
  <c r="D35" i="10" s="1"/>
  <c r="D42" i="10"/>
  <c r="H211" i="8"/>
  <c r="H212" i="8"/>
  <c r="H213" i="8"/>
  <c r="H223" i="8"/>
  <c r="H222" i="8"/>
  <c r="H221" i="8"/>
  <c r="H220" i="8"/>
  <c r="H218" i="8"/>
  <c r="H217" i="8"/>
  <c r="H216" i="8"/>
  <c r="H215" i="8"/>
  <c r="H210" i="8"/>
  <c r="I203" i="8"/>
  <c r="I202" i="8"/>
  <c r="I201" i="8"/>
  <c r="I200" i="8"/>
  <c r="I199" i="8"/>
  <c r="I198" i="8"/>
  <c r="I197" i="8"/>
  <c r="I196" i="8"/>
  <c r="I195" i="8"/>
  <c r="I194" i="8"/>
  <c r="I193" i="8"/>
  <c r="I192" i="8"/>
  <c r="I191" i="8"/>
  <c r="I190" i="8"/>
  <c r="I189" i="8"/>
  <c r="I188" i="8"/>
  <c r="I187" i="8"/>
  <c r="I186" i="8"/>
  <c r="I185" i="8"/>
  <c r="I184" i="8"/>
  <c r="D178" i="8"/>
  <c r="E163" i="8"/>
  <c r="E162" i="8"/>
  <c r="E161" i="8"/>
  <c r="E160" i="8"/>
  <c r="E159" i="8"/>
  <c r="E158" i="8"/>
  <c r="E157" i="8"/>
  <c r="E156" i="8"/>
  <c r="E155" i="8"/>
  <c r="E154" i="8"/>
  <c r="E153" i="8"/>
  <c r="I146" i="8"/>
  <c r="I145" i="8"/>
  <c r="I144" i="8"/>
  <c r="I143" i="8"/>
  <c r="I142" i="8"/>
  <c r="I141" i="8"/>
  <c r="H126" i="8"/>
  <c r="H134" i="8"/>
  <c r="H133" i="8"/>
  <c r="H132" i="8"/>
  <c r="H131" i="8"/>
  <c r="H130" i="8"/>
  <c r="H129" i="8"/>
  <c r="H128" i="8"/>
  <c r="H127" i="8"/>
  <c r="F88" i="8"/>
  <c r="F79" i="8"/>
  <c r="F75" i="8"/>
  <c r="E74" i="18"/>
  <c r="E89" i="18"/>
  <c r="H170" i="18"/>
  <c r="E81" i="18"/>
  <c r="D148" i="19"/>
  <c r="J8" i="16"/>
  <c r="E92" i="18"/>
  <c r="D142" i="19"/>
  <c r="I232" i="20"/>
  <c r="N204" i="16"/>
  <c r="E77" i="18"/>
  <c r="E90" i="18"/>
  <c r="E75" i="18"/>
  <c r="E82" i="18"/>
  <c r="N115" i="16"/>
  <c r="D144" i="19"/>
  <c r="D108" i="19"/>
  <c r="C236" i="18"/>
  <c r="D104" i="19"/>
  <c r="E94" i="18"/>
  <c r="E78" i="18"/>
  <c r="E98" i="18"/>
  <c r="C213" i="18"/>
  <c r="D106" i="19"/>
  <c r="E95" i="18"/>
  <c r="E91" i="18"/>
  <c r="E96" i="18"/>
  <c r="G126" i="18"/>
  <c r="D146" i="19"/>
  <c r="E83" i="18"/>
  <c r="E97" i="18"/>
  <c r="H169" i="18"/>
  <c r="E76" i="18"/>
  <c r="E79" i="18"/>
  <c r="E80" i="18"/>
  <c r="D140" i="19"/>
  <c r="E93" i="18"/>
  <c r="D110" i="19"/>
  <c r="X173" i="20" l="1"/>
  <c r="X159" i="20"/>
  <c r="X162" i="20"/>
  <c r="X161" i="20"/>
  <c r="X164" i="20"/>
  <c r="X172" i="20"/>
  <c r="X165" i="20"/>
  <c r="X160" i="20"/>
  <c r="X170" i="20"/>
  <c r="X158" i="20"/>
  <c r="X153" i="20"/>
  <c r="X155" i="20"/>
  <c r="X154" i="20"/>
  <c r="X156" i="20"/>
  <c r="X166" i="20"/>
  <c r="X157" i="20"/>
  <c r="X163" i="20"/>
  <c r="X167" i="20"/>
  <c r="X174" i="20"/>
  <c r="X175" i="20"/>
  <c r="X169" i="20"/>
  <c r="X171" i="20"/>
  <c r="X168" i="20"/>
  <c r="E170" i="18"/>
  <c r="K118" i="20"/>
  <c r="X185" i="20"/>
  <c r="X210" i="20"/>
  <c r="X206" i="20"/>
  <c r="X186" i="20"/>
  <c r="X177" i="20"/>
  <c r="X180" i="20"/>
  <c r="X183" i="20"/>
  <c r="X181" i="20"/>
  <c r="X176" i="20"/>
  <c r="X179" i="20"/>
  <c r="X202" i="20"/>
  <c r="X209" i="20"/>
  <c r="X205" i="20"/>
  <c r="X178" i="20"/>
  <c r="X203" i="20"/>
  <c r="X207" i="20"/>
  <c r="X199" i="20"/>
  <c r="X195" i="20"/>
  <c r="X196" i="20"/>
  <c r="X200" i="20"/>
  <c r="X194" i="20"/>
  <c r="X151" i="20"/>
  <c r="X184" i="20"/>
  <c r="X197" i="20"/>
  <c r="X191" i="20"/>
  <c r="X201" i="20"/>
  <c r="X192" i="20"/>
  <c r="X204" i="20"/>
  <c r="X187" i="20"/>
  <c r="X193" i="20"/>
  <c r="X189" i="20"/>
  <c r="X208" i="20"/>
  <c r="X198" i="20"/>
  <c r="X188" i="20"/>
  <c r="X152" i="20"/>
  <c r="X190" i="20"/>
  <c r="X182" i="20"/>
  <c r="X150" i="20"/>
  <c r="X149" i="20"/>
  <c r="K116" i="20"/>
  <c r="I88" i="20"/>
  <c r="M6" i="20"/>
  <c r="D29" i="10"/>
  <c r="D24" i="10"/>
  <c r="D25" i="10"/>
  <c r="E54" i="10"/>
  <c r="E55" i="10"/>
  <c r="E56" i="10"/>
  <c r="E57" i="10"/>
  <c r="I57" i="10" s="1"/>
  <c r="E58" i="10"/>
  <c r="E59" i="10"/>
  <c r="E60" i="10"/>
  <c r="E61" i="10"/>
  <c r="E62" i="10"/>
  <c r="E53" i="10"/>
  <c r="C54" i="10"/>
  <c r="D54" i="10" s="1"/>
  <c r="C55" i="10"/>
  <c r="H55" i="10" s="1"/>
  <c r="C56" i="10"/>
  <c r="D56" i="10" s="1"/>
  <c r="F56" i="10" s="1"/>
  <c r="C57" i="10"/>
  <c r="H57" i="10" s="1"/>
  <c r="C58" i="10"/>
  <c r="G58" i="10" s="1"/>
  <c r="C59" i="10"/>
  <c r="D59" i="10" s="1"/>
  <c r="F59" i="10" s="1"/>
  <c r="H59" i="10" s="1"/>
  <c r="C60" i="10"/>
  <c r="G60" i="10" s="1"/>
  <c r="C61" i="10"/>
  <c r="G61" i="10" s="1"/>
  <c r="C62" i="10"/>
  <c r="D62" i="10" s="1"/>
  <c r="F62" i="10" s="1"/>
  <c r="C53" i="10"/>
  <c r="D53" i="10" s="1"/>
  <c r="D13" i="10"/>
  <c r="D26" i="10" s="1"/>
  <c r="D43" i="10"/>
  <c r="D41" i="10"/>
  <c r="D22" i="10"/>
  <c r="D23" i="10" s="1"/>
  <c r="D21" i="10"/>
  <c r="D20" i="10"/>
  <c r="D19" i="10"/>
  <c r="D16" i="10"/>
  <c r="D15" i="10"/>
  <c r="D30" i="10" s="1"/>
  <c r="D14" i="10"/>
  <c r="D12" i="10"/>
  <c r="D11" i="10"/>
  <c r="D36" i="10" s="1"/>
  <c r="D10" i="10"/>
  <c r="C103" i="9"/>
  <c r="D99" i="9"/>
  <c r="G56" i="9"/>
  <c r="G57" i="9"/>
  <c r="G55" i="9"/>
  <c r="G80" i="9"/>
  <c r="G81" i="9"/>
  <c r="G82" i="9"/>
  <c r="G83" i="9"/>
  <c r="G84" i="9"/>
  <c r="G85" i="9"/>
  <c r="G86" i="9"/>
  <c r="G63" i="9"/>
  <c r="G64" i="9"/>
  <c r="G65" i="9"/>
  <c r="G66" i="9"/>
  <c r="G67" i="9"/>
  <c r="G68" i="9"/>
  <c r="G69" i="9"/>
  <c r="G70" i="9"/>
  <c r="G71" i="9"/>
  <c r="G72" i="9"/>
  <c r="G73" i="9"/>
  <c r="G74" i="9"/>
  <c r="G75" i="9"/>
  <c r="G76" i="9"/>
  <c r="G77" i="9"/>
  <c r="G78" i="9"/>
  <c r="G79" i="9"/>
  <c r="G62" i="9"/>
  <c r="G17" i="9"/>
  <c r="G14" i="9"/>
  <c r="G38" i="9"/>
  <c r="G31" i="9"/>
  <c r="G32" i="9"/>
  <c r="G33" i="9"/>
  <c r="G34" i="9"/>
  <c r="G35" i="9"/>
  <c r="G36" i="9"/>
  <c r="G37" i="9"/>
  <c r="G15" i="9"/>
  <c r="G16" i="9"/>
  <c r="G18" i="9"/>
  <c r="G19" i="9"/>
  <c r="G20" i="9"/>
  <c r="G21" i="9"/>
  <c r="G22" i="9"/>
  <c r="G23" i="9"/>
  <c r="G24" i="9"/>
  <c r="G25" i="9"/>
  <c r="G26" i="9"/>
  <c r="G27" i="9"/>
  <c r="G28" i="9"/>
  <c r="G29" i="9"/>
  <c r="G30" i="9"/>
  <c r="G128" i="6"/>
  <c r="G124" i="6"/>
  <c r="G120" i="6"/>
  <c r="G116" i="6"/>
  <c r="G112" i="6"/>
  <c r="G107" i="6"/>
  <c r="G103" i="6"/>
  <c r="G98" i="6"/>
  <c r="G94" i="6"/>
  <c r="G90" i="6"/>
  <c r="G86" i="6"/>
  <c r="G81" i="6"/>
  <c r="G76" i="6"/>
  <c r="G72" i="6"/>
  <c r="G67" i="6"/>
  <c r="H8" i="4"/>
  <c r="H18" i="4"/>
  <c r="D8" i="4"/>
  <c r="E8" i="4"/>
  <c r="F8" i="4"/>
  <c r="G8" i="4"/>
  <c r="C9" i="4"/>
  <c r="D9" i="4"/>
  <c r="E9" i="4"/>
  <c r="F9" i="4"/>
  <c r="G9" i="4"/>
  <c r="H9" i="4"/>
  <c r="C10" i="4"/>
  <c r="D10" i="4"/>
  <c r="E10" i="4"/>
  <c r="F10" i="4"/>
  <c r="G10" i="4"/>
  <c r="H10" i="4"/>
  <c r="C11" i="4"/>
  <c r="D11" i="4"/>
  <c r="E11" i="4"/>
  <c r="F11" i="4"/>
  <c r="G11" i="4"/>
  <c r="H11" i="4"/>
  <c r="C12" i="4"/>
  <c r="D12" i="4"/>
  <c r="E12" i="4"/>
  <c r="F12" i="4"/>
  <c r="G12" i="4"/>
  <c r="H12" i="4"/>
  <c r="C13" i="4"/>
  <c r="D13" i="4"/>
  <c r="E13" i="4"/>
  <c r="F13" i="4"/>
  <c r="G13" i="4"/>
  <c r="H13" i="4"/>
  <c r="C14" i="4"/>
  <c r="D14" i="4"/>
  <c r="E14" i="4"/>
  <c r="F14" i="4"/>
  <c r="G14" i="4"/>
  <c r="H14" i="4"/>
  <c r="C15" i="4"/>
  <c r="D15" i="4"/>
  <c r="E15" i="4"/>
  <c r="F15" i="4"/>
  <c r="G15" i="4"/>
  <c r="H15" i="4"/>
  <c r="C16" i="4"/>
  <c r="D16" i="4"/>
  <c r="E16" i="4"/>
  <c r="F16" i="4"/>
  <c r="G16" i="4"/>
  <c r="H16" i="4"/>
  <c r="C17" i="4"/>
  <c r="D17" i="4"/>
  <c r="E17" i="4"/>
  <c r="F17" i="4"/>
  <c r="G17" i="4"/>
  <c r="H17" i="4"/>
  <c r="C18" i="4"/>
  <c r="D18" i="4"/>
  <c r="E18" i="4"/>
  <c r="F18" i="4"/>
  <c r="G18" i="4"/>
  <c r="C8" i="4"/>
  <c r="D51" i="10"/>
  <c r="H51" i="10"/>
  <c r="D18" i="10"/>
  <c r="F51" i="10"/>
  <c r="I51" i="10"/>
  <c r="E51" i="10"/>
  <c r="C51" i="10"/>
  <c r="I53" i="10" l="1"/>
  <c r="F54" i="10"/>
  <c r="H54" i="10" s="1"/>
  <c r="I54" i="10"/>
  <c r="I59" i="10"/>
  <c r="I56" i="10"/>
  <c r="I55" i="10"/>
  <c r="I62" i="10"/>
  <c r="I60" i="10"/>
  <c r="D58" i="10"/>
  <c r="G59" i="10"/>
  <c r="D61" i="10"/>
  <c r="H60" i="10"/>
  <c r="H62" i="10"/>
  <c r="G57" i="10"/>
  <c r="G56" i="10"/>
  <c r="F53" i="10"/>
  <c r="H53" i="10" s="1"/>
  <c r="G53" i="10"/>
  <c r="G55" i="10"/>
  <c r="G62" i="10"/>
  <c r="G54" i="10"/>
  <c r="H56" i="10"/>
  <c r="D17" i="10"/>
  <c r="G87" i="9"/>
  <c r="G129" i="6"/>
  <c r="G51" i="10"/>
  <c r="F58" i="10" l="1"/>
  <c r="H58" i="10" s="1"/>
  <c r="I58" i="10"/>
  <c r="F61" i="10"/>
  <c r="H61" i="10" s="1"/>
  <c r="I6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271C97-E241-4E0A-A3C6-2D06269D383F}" keepAlive="1" name="Query - Ring of Power" description="Connection to the 'Ring of Power' query in the workbook." type="5" refreshedVersion="8" background="1" saveData="1">
    <dbPr connection="Provider=Microsoft.Mashup.OleDb.1;Data Source=$Workbook$;Location=&quot;Ring of Power&quot;;Extended Properties=&quot;&quot;" command="SELECT * FROM [Ring of Power]"/>
  </connection>
</connections>
</file>

<file path=xl/sharedStrings.xml><?xml version="1.0" encoding="utf-8"?>
<sst xmlns="http://schemas.openxmlformats.org/spreadsheetml/2006/main" count="4945" uniqueCount="2315">
  <si>
    <t>S.NO</t>
  </si>
  <si>
    <t>Name</t>
  </si>
  <si>
    <t>Aarav Sharma</t>
  </si>
  <si>
    <t>Aditi Mehta</t>
  </si>
  <si>
    <t>Rohan Kumar</t>
  </si>
  <si>
    <t>Isha Patel</t>
  </si>
  <si>
    <t>Anaya Gupta</t>
  </si>
  <si>
    <t>Aryan Singh</t>
  </si>
  <si>
    <t>Neha Reddy</t>
  </si>
  <si>
    <t>Kabir Joshi</t>
  </si>
  <si>
    <t>Sneha Desai</t>
  </si>
  <si>
    <t>Vihaan Rao</t>
  </si>
  <si>
    <t>English</t>
  </si>
  <si>
    <t>Maths</t>
  </si>
  <si>
    <t>Science</t>
  </si>
  <si>
    <t>Hindi</t>
  </si>
  <si>
    <t>CLASS 10TH STUDENTS</t>
  </si>
  <si>
    <t>FIND OUT DAYS WE LIVE ON EARTH</t>
  </si>
  <si>
    <t xml:space="preserve">CURRENT DATE </t>
  </si>
  <si>
    <t>DATE OF BIRTH</t>
  </si>
  <si>
    <t>2 MODULE</t>
  </si>
  <si>
    <t>Days we live on earth</t>
  </si>
  <si>
    <t>Days we live on earth (FIND)</t>
  </si>
  <si>
    <t>DATE</t>
  </si>
  <si>
    <t>DATE OF BIRTH (FIND)</t>
  </si>
  <si>
    <t>1 MODULE</t>
  </si>
  <si>
    <t>RANGE FORMAT</t>
  </si>
  <si>
    <t>TABLE FORMAT</t>
  </si>
  <si>
    <t>POINTS TO BE NOTED</t>
  </si>
  <si>
    <t>DATA SORTING = in table</t>
  </si>
  <si>
    <t>FN RANDOMBETWEEN (VARIABLE)</t>
  </si>
  <si>
    <t>FN RANDOMBETWEEN (Constant)</t>
  </si>
  <si>
    <t xml:space="preserve">to make constant used paste special </t>
  </si>
  <si>
    <t>Paste shortcut = ctrl + alt + v</t>
  </si>
  <si>
    <t>Go to shortcut = ctrl + g</t>
  </si>
  <si>
    <t>3 MODULE</t>
  </si>
  <si>
    <t>[Go to] fn helps in finding require cell</t>
  </si>
  <si>
    <t>find and replace = ctrl + f</t>
  </si>
  <si>
    <t>4 MODULE</t>
  </si>
  <si>
    <t>find and replace example</t>
  </si>
  <si>
    <t>nil</t>
  </si>
  <si>
    <t xml:space="preserve">find and replace have some limitations </t>
  </si>
  <si>
    <t>we have give particular rule in format we get right things</t>
  </si>
  <si>
    <t>Paste special function</t>
  </si>
  <si>
    <t>5 MODULE</t>
  </si>
  <si>
    <t>Transpose fn in paste special</t>
  </si>
  <si>
    <t>transpose fn</t>
  </si>
  <si>
    <t>Raw data</t>
  </si>
  <si>
    <t xml:space="preserve">Transpose Above Raw Data </t>
  </si>
  <si>
    <t>we used paste special to transpose required data</t>
  </si>
  <si>
    <t>text to column</t>
  </si>
  <si>
    <t>Rahul Sharma</t>
  </si>
  <si>
    <t>Priya Patel</t>
  </si>
  <si>
    <t>Amit Singh</t>
  </si>
  <si>
    <t>Anjali Gupta</t>
  </si>
  <si>
    <t>Suresh Kumar</t>
  </si>
  <si>
    <t>Pooja Reddy</t>
  </si>
  <si>
    <t>Vikram Malhotra</t>
  </si>
  <si>
    <t>Aarti Desai</t>
  </si>
  <si>
    <t>Arjun Choudhury</t>
  </si>
  <si>
    <t>Naina Iyer</t>
  </si>
  <si>
    <t>Rajesh Verma</t>
  </si>
  <si>
    <t>Kavita Mishra</t>
  </si>
  <si>
    <t>Aditya Joshi</t>
  </si>
  <si>
    <t>Deepika Khanna</t>
  </si>
  <si>
    <t>Ravi Menon</t>
  </si>
  <si>
    <t>Sneha Shah</t>
  </si>
  <si>
    <t>Mohan Rao</t>
  </si>
  <si>
    <t>Jaya Mehta</t>
  </si>
  <si>
    <t>Karthik Nair</t>
  </si>
  <si>
    <t>Geeta Bhat</t>
  </si>
  <si>
    <t>Names</t>
  </si>
  <si>
    <t>Rib (data) = txt to column</t>
  </si>
  <si>
    <t>separate name in first and last using this fn</t>
  </si>
  <si>
    <t>first Name</t>
  </si>
  <si>
    <t>last name</t>
  </si>
  <si>
    <t>Rahul</t>
  </si>
  <si>
    <t>Sharma</t>
  </si>
  <si>
    <t>Priya</t>
  </si>
  <si>
    <t>Patel</t>
  </si>
  <si>
    <t>Amit</t>
  </si>
  <si>
    <t>Singh</t>
  </si>
  <si>
    <t>Anjali</t>
  </si>
  <si>
    <t>Gupta</t>
  </si>
  <si>
    <t>Suresh</t>
  </si>
  <si>
    <t>Kumar</t>
  </si>
  <si>
    <t>Pooja</t>
  </si>
  <si>
    <t>Reddy</t>
  </si>
  <si>
    <t>Vikram</t>
  </si>
  <si>
    <t>Malhotra</t>
  </si>
  <si>
    <t>Aarti</t>
  </si>
  <si>
    <t>Desai</t>
  </si>
  <si>
    <t>Arjun</t>
  </si>
  <si>
    <t>Choudhury</t>
  </si>
  <si>
    <t>Naina</t>
  </si>
  <si>
    <t>Iyer</t>
  </si>
  <si>
    <t>Rajesh</t>
  </si>
  <si>
    <t>Verma</t>
  </si>
  <si>
    <t>Kavita</t>
  </si>
  <si>
    <t>Mishra</t>
  </si>
  <si>
    <t>Aditya</t>
  </si>
  <si>
    <t>Joshi</t>
  </si>
  <si>
    <t>Deepika</t>
  </si>
  <si>
    <t>Khanna</t>
  </si>
  <si>
    <t>Ravi</t>
  </si>
  <si>
    <t>Menon</t>
  </si>
  <si>
    <t>Sneha</t>
  </si>
  <si>
    <t>Shah</t>
  </si>
  <si>
    <t>Mohan</t>
  </si>
  <si>
    <t>Rao</t>
  </si>
  <si>
    <t>Jaya</t>
  </si>
  <si>
    <t>Mehta</t>
  </si>
  <si>
    <t>Karthik</t>
  </si>
  <si>
    <t>Nair</t>
  </si>
  <si>
    <t>Geeta</t>
  </si>
  <si>
    <t>Bhat</t>
  </si>
  <si>
    <t>we can do more things separate as per need</t>
  </si>
  <si>
    <t>6 MODULE</t>
  </si>
  <si>
    <t>RAW DATA</t>
  </si>
  <si>
    <t>Rib (data) = remove duplication fn</t>
  </si>
  <si>
    <t>remove same data from workbook/sheet( selected cells only)</t>
  </si>
  <si>
    <t xml:space="preserve">Remove duplicate data </t>
  </si>
  <si>
    <t>7 MODULE</t>
  </si>
  <si>
    <t>Data Validation</t>
  </si>
  <si>
    <t>Rib (data) = Data validation</t>
  </si>
  <si>
    <t>Raw Data</t>
  </si>
  <si>
    <t>Data validation</t>
  </si>
  <si>
    <t xml:space="preserve">validation means giving certain rules </t>
  </si>
  <si>
    <t xml:space="preserve">if not performed correctly it shows error </t>
  </si>
  <si>
    <t>using duplicate fn</t>
  </si>
  <si>
    <t>formula for only numbers  =isnumber(A1:Z1)</t>
  </si>
  <si>
    <t>formula for only txt and symbol  =istext(A1:Z1)</t>
  </si>
  <si>
    <t>Data Protection</t>
  </si>
  <si>
    <t>if help to protect data from changes by any person</t>
  </si>
  <si>
    <t>Rib(review) = protect sheet</t>
  </si>
  <si>
    <t>Item Number</t>
  </si>
  <si>
    <t>Quantity</t>
  </si>
  <si>
    <t>Sale data of jacket by A Limited company</t>
  </si>
  <si>
    <t>Subtotal , Group and Ungroup</t>
  </si>
  <si>
    <t>City</t>
  </si>
  <si>
    <t>Price (per product, ₹)</t>
  </si>
  <si>
    <t>Amount (₹)</t>
  </si>
  <si>
    <t>Mumbai</t>
  </si>
  <si>
    <t>Delhi</t>
  </si>
  <si>
    <t>Bangalore</t>
  </si>
  <si>
    <t>Kolkata</t>
  </si>
  <si>
    <t>Chennai</t>
  </si>
  <si>
    <t>Hyderabad</t>
  </si>
  <si>
    <t>Ahmedabad</t>
  </si>
  <si>
    <t>Pune</t>
  </si>
  <si>
    <t>Jaipur</t>
  </si>
  <si>
    <t>Lucknow</t>
  </si>
  <si>
    <t>Chandigarh</t>
  </si>
  <si>
    <t>Indore</t>
  </si>
  <si>
    <t>Surat</t>
  </si>
  <si>
    <t>Visakhapatnam</t>
  </si>
  <si>
    <t>Nagpur</t>
  </si>
  <si>
    <t>Arranging the Data</t>
  </si>
  <si>
    <t>Ahmedabad Total</t>
  </si>
  <si>
    <t>Bangalore Total</t>
  </si>
  <si>
    <t>Chandigarh Total</t>
  </si>
  <si>
    <t>Chennai Total</t>
  </si>
  <si>
    <t>Delhi Total</t>
  </si>
  <si>
    <t>Hyderabad Total</t>
  </si>
  <si>
    <t>Indore Total</t>
  </si>
  <si>
    <t>Jaipur Total</t>
  </si>
  <si>
    <t>Kolkata Total</t>
  </si>
  <si>
    <t>Lucknow Total</t>
  </si>
  <si>
    <t>Mumbai Total</t>
  </si>
  <si>
    <t>Nagpur Total</t>
  </si>
  <si>
    <t>Pune Total</t>
  </si>
  <si>
    <t>Surat Total</t>
  </si>
  <si>
    <t>Visakhapatnam Total</t>
  </si>
  <si>
    <t>Grand Total</t>
  </si>
  <si>
    <t>8 MODULE</t>
  </si>
  <si>
    <t>Conditional formatting</t>
  </si>
  <si>
    <t xml:space="preserve"> You want to apply conditional formatting to the sales figures to highlight the following:</t>
  </si>
  <si>
    <t>Jan</t>
  </si>
  <si>
    <t>Nike</t>
  </si>
  <si>
    <t>Feb</t>
  </si>
  <si>
    <t>Adidas</t>
  </si>
  <si>
    <t>Mar</t>
  </si>
  <si>
    <t>Puma</t>
  </si>
  <si>
    <t>Apr</t>
  </si>
  <si>
    <t>Reebok</t>
  </si>
  <si>
    <t>May</t>
  </si>
  <si>
    <t>Asics</t>
  </si>
  <si>
    <t>Skechers</t>
  </si>
  <si>
    <t>New Balance</t>
  </si>
  <si>
    <t>Under Armour</t>
  </si>
  <si>
    <t>Converse</t>
  </si>
  <si>
    <t>Vans</t>
  </si>
  <si>
    <t>2. Sales figures between 5,000 and 10,000 should be highlighted in yellow.</t>
  </si>
  <si>
    <t>3. Sales figures less than 5,000 should be highlighted in red.</t>
  </si>
  <si>
    <t>1. Sales figures greater than 10,000 should be highlighted in green.</t>
  </si>
  <si>
    <t>Month</t>
  </si>
  <si>
    <t>shoes name</t>
  </si>
  <si>
    <t>Qt</t>
  </si>
  <si>
    <t>Sale [INR]</t>
  </si>
  <si>
    <t>Conditional formating</t>
  </si>
  <si>
    <t>fn =  function</t>
  </si>
  <si>
    <t>You have a spreadsheet with sales data for the first 10 months of a year. The data is in a table format with the months in column Months and the sales figures in column Sale</t>
  </si>
  <si>
    <t>Question:</t>
  </si>
  <si>
    <t>Car Brand</t>
  </si>
  <si>
    <t>Cost (₹ Lakhs)</t>
  </si>
  <si>
    <t>Selling Price (₹ Lakhs)</t>
  </si>
  <si>
    <t>Units Sold</t>
  </si>
  <si>
    <t>Total Profit (₹ Lakhs)</t>
  </si>
  <si>
    <t>Toyota</t>
  </si>
  <si>
    <t>Honda</t>
  </si>
  <si>
    <t>Ford</t>
  </si>
  <si>
    <t>BMW</t>
  </si>
  <si>
    <t>Audi</t>
  </si>
  <si>
    <t>Tasks:</t>
  </si>
  <si>
    <r>
      <t>2. Scenario Analysis</t>
    </r>
    <r>
      <rPr>
        <sz val="11"/>
        <color theme="1"/>
        <rFont val="Calibri"/>
        <family val="2"/>
        <scheme val="minor"/>
      </rPr>
      <t>: Perform a scenario analysis to see how changes in the selling price of Toyota cars affect the total profit in the month of January. Assume three scenarios:</t>
    </r>
  </si>
  <si>
    <t>Best case: Selling price increases by 10%.</t>
  </si>
  <si>
    <t>Most likely case: Selling price remains the same.</t>
  </si>
  <si>
    <t>Worst case: Selling price decreases by 10%.</t>
  </si>
  <si>
    <r>
      <t>3. Goal Seek Analysis</t>
    </r>
    <r>
      <rPr>
        <sz val="11"/>
        <color theme="1"/>
        <rFont val="Calibri"/>
        <family val="2"/>
        <scheme val="minor"/>
      </rPr>
      <t>: Use the Goal Seek tool to determine what the selling price of Audi cars should be in May to achieve a total profit of ₹200 lakhs for that month.</t>
    </r>
  </si>
  <si>
    <t xml:space="preserve"> You want to analyze how changes in costs and selling prices affect your total profit. The data is organized as follows:</t>
  </si>
  <si>
    <t>You are managing a car showroom and have data about the cost, selling price, and units sold for different car brands over the past five months.</t>
  </si>
  <si>
    <t>9 MODULE</t>
  </si>
  <si>
    <t>What if Analysis fn</t>
  </si>
  <si>
    <r>
      <t>1. Calculate Total Profit</t>
    </r>
    <r>
      <rPr>
        <sz val="11"/>
        <color theme="1"/>
        <rFont val="Calibri"/>
        <family val="2"/>
        <scheme val="minor"/>
      </rPr>
      <t>: Use the formula for each row to calculate the total profit for each car brand in each month.</t>
    </r>
  </si>
  <si>
    <t>Scenario</t>
  </si>
  <si>
    <t>best case</t>
  </si>
  <si>
    <t>likely case</t>
  </si>
  <si>
    <t>worst case</t>
  </si>
  <si>
    <t>Case 2</t>
  </si>
  <si>
    <t>Case 3</t>
  </si>
  <si>
    <t>Solving the Question</t>
  </si>
  <si>
    <t>to convert in 50 to 5,00,000 ( multiple formula with desire zeroes )</t>
  </si>
  <si>
    <t xml:space="preserve"> can use multiple conditional on particular data</t>
  </si>
  <si>
    <t>for comma = used number format (use separator)</t>
  </si>
  <si>
    <t>data(what if analysis)</t>
  </si>
  <si>
    <t>Intial Investment</t>
  </si>
  <si>
    <t>Rate of return</t>
  </si>
  <si>
    <t>years</t>
  </si>
  <si>
    <t>Excepted Amount</t>
  </si>
  <si>
    <t>Table</t>
  </si>
  <si>
    <t xml:space="preserve">Monthly </t>
  </si>
  <si>
    <t>Face value formula</t>
  </si>
  <si>
    <t>FV(percentage/12, years*12, - monthly inv, - intial inv)</t>
  </si>
  <si>
    <t>SUM</t>
  </si>
  <si>
    <t>AVERAGE</t>
  </si>
  <si>
    <t>LEFT</t>
  </si>
  <si>
    <t>RIGHT</t>
  </si>
  <si>
    <t>MID</t>
  </si>
  <si>
    <t>FIND</t>
  </si>
  <si>
    <t>SEARCH</t>
  </si>
  <si>
    <t>REPLACE</t>
  </si>
  <si>
    <t>TODAY</t>
  </si>
  <si>
    <t>NOW</t>
  </si>
  <si>
    <t>SUBSTITUTE</t>
  </si>
  <si>
    <t>CONCATENATE</t>
  </si>
  <si>
    <t>FORMULATEXT</t>
  </si>
  <si>
    <t>UPPER</t>
  </si>
  <si>
    <t>LOWER</t>
  </si>
  <si>
    <t>PROPER</t>
  </si>
  <si>
    <t>LEN</t>
  </si>
  <si>
    <t>REPT</t>
  </si>
  <si>
    <t>MIN</t>
  </si>
  <si>
    <t>MAX</t>
  </si>
  <si>
    <t xml:space="preserve">Count </t>
  </si>
  <si>
    <t>b</t>
  </si>
  <si>
    <t>Alexander James Smith</t>
  </si>
  <si>
    <t xml:space="preserve">CountA </t>
  </si>
  <si>
    <t>TRIM FN - trim the space from cell</t>
  </si>
  <si>
    <t>CLEAN - non printable characters</t>
  </si>
  <si>
    <t>REPT - rept the same thing again and again</t>
  </si>
  <si>
    <t>functions</t>
  </si>
  <si>
    <t>Trim fn</t>
  </si>
  <si>
    <t>name</t>
  </si>
  <si>
    <t>lens</t>
  </si>
  <si>
    <t>SUBSTITUE - substitue is case senstive</t>
  </si>
  <si>
    <t>trim fn</t>
  </si>
  <si>
    <t>IFERROR - write error whatever we wanted or true or false</t>
  </si>
  <si>
    <t>first space</t>
  </si>
  <si>
    <t>Second space</t>
  </si>
  <si>
    <t>difference</t>
  </si>
  <si>
    <t>first name</t>
  </si>
  <si>
    <t>Middle name</t>
  </si>
  <si>
    <t>inferror fn</t>
  </si>
  <si>
    <t>Emma Grace Johnson</t>
  </si>
  <si>
    <t>Liam Michael Brown</t>
  </si>
  <si>
    <t>Olivia Smith</t>
  </si>
  <si>
    <t>Noah James Williams</t>
  </si>
  <si>
    <t>Ava Davis</t>
  </si>
  <si>
    <t>Sophia Marie Martinez</t>
  </si>
  <si>
    <t>Elijah Robert Anderson</t>
  </si>
  <si>
    <t>Isabella Thomas</t>
  </si>
  <si>
    <t>Lucas Alexander Hernandez</t>
  </si>
  <si>
    <t>Mia Elizabeth Moore</t>
  </si>
  <si>
    <t>SOLVE THIS TABLE USING FORMULAS ONLY</t>
  </si>
  <si>
    <t>formulas</t>
  </si>
  <si>
    <t>Evaluate fn in formulas ribbion</t>
  </si>
  <si>
    <t>LEN - length of txt or number</t>
  </si>
  <si>
    <t>len</t>
  </si>
  <si>
    <t>Days</t>
  </si>
  <si>
    <t>We only know</t>
  </si>
  <si>
    <t>Total days</t>
  </si>
  <si>
    <t>Minutes we live on earth(F)</t>
  </si>
  <si>
    <t>Hours we lived on earth(F)</t>
  </si>
  <si>
    <t>Region</t>
  </si>
  <si>
    <t>North America</t>
  </si>
  <si>
    <t>Europe</t>
  </si>
  <si>
    <t>Asia Pacific</t>
  </si>
  <si>
    <t>Latin America</t>
  </si>
  <si>
    <t>Middle East</t>
  </si>
  <si>
    <t>(e.g., North America, Europe, Asia Pacific, Latin America, Middle East) for the year 2023?"</t>
  </si>
  <si>
    <t>COLUMN CHART</t>
  </si>
  <si>
    <t>Q1 Sales ($)</t>
  </si>
  <si>
    <t>Q4 Sales ($)</t>
  </si>
  <si>
    <t>Q3 Sales ($)</t>
  </si>
  <si>
    <t>Q2 Sales ($)</t>
  </si>
  <si>
    <t>Q1)</t>
  </si>
  <si>
    <t>Can you create a column chart that displays the quarterly number of shoes sold and the sales for Nike across different regions.</t>
  </si>
  <si>
    <t>January</t>
  </si>
  <si>
    <t>February</t>
  </si>
  <si>
    <t>March</t>
  </si>
  <si>
    <t>April</t>
  </si>
  <si>
    <t>June</t>
  </si>
  <si>
    <t>July</t>
  </si>
  <si>
    <t>August</t>
  </si>
  <si>
    <t>September</t>
  </si>
  <si>
    <t>October</t>
  </si>
  <si>
    <t>November</t>
  </si>
  <si>
    <t>December</t>
  </si>
  <si>
    <t>Q2)</t>
  </si>
  <si>
    <t>Row Labels</t>
  </si>
  <si>
    <t>Sales Revenue</t>
  </si>
  <si>
    <t>Q3)</t>
  </si>
  <si>
    <t>"Can you create a stacked column chart that illustrates the monthly sales revenue and loss due to expiry of product</t>
  </si>
  <si>
    <t>Year</t>
  </si>
  <si>
    <t>Supply (tons)</t>
  </si>
  <si>
    <t>Demand (tons)</t>
  </si>
  <si>
    <t>MIN TEMPERATURE</t>
  </si>
  <si>
    <t>MAX TEMPERATURE</t>
  </si>
  <si>
    <t>Make a line chart of daily temperature of Delhi city 2024 9minimum and maimum temperature)</t>
  </si>
  <si>
    <t>LINE CHART</t>
  </si>
  <si>
    <t>STACKED COLUMN CHART</t>
  </si>
  <si>
    <t>SCATTER LINE CHART</t>
  </si>
  <si>
    <t>Rank</t>
  </si>
  <si>
    <t>Title</t>
  </si>
  <si>
    <t>Units Sold (Million)</t>
  </si>
  <si>
    <t>#1</t>
  </si>
  <si>
    <t>Wii Sports</t>
  </si>
  <si>
    <t>#2</t>
  </si>
  <si>
    <t>Super Mario Bros.</t>
  </si>
  <si>
    <t>#3</t>
  </si>
  <si>
    <t>Mario Kart Wii</t>
  </si>
  <si>
    <t>#4</t>
  </si>
  <si>
    <t>Wii Sport Resort</t>
  </si>
  <si>
    <t>#5</t>
  </si>
  <si>
    <t>Pokémon R/G/B</t>
  </si>
  <si>
    <t>#6</t>
  </si>
  <si>
    <t>Tetris</t>
  </si>
  <si>
    <t>#7</t>
  </si>
  <si>
    <t>New Super Mario Bros.</t>
  </si>
  <si>
    <t>#8</t>
  </si>
  <si>
    <t>Wii Play</t>
  </si>
  <si>
    <t>#9</t>
  </si>
  <si>
    <t>#10</t>
  </si>
  <si>
    <t>Duck Hunt</t>
  </si>
  <si>
    <t>#11</t>
  </si>
  <si>
    <t>Nintendogs</t>
  </si>
  <si>
    <t>#12</t>
  </si>
  <si>
    <t>Mario Kart DS</t>
  </si>
  <si>
    <t>#13</t>
  </si>
  <si>
    <t>Pokémon G/S</t>
  </si>
  <si>
    <t>#14</t>
  </si>
  <si>
    <t>Wii Fit</t>
  </si>
  <si>
    <t>#15</t>
  </si>
  <si>
    <t>Kinect Adventures!</t>
  </si>
  <si>
    <t>#16</t>
  </si>
  <si>
    <t>Wii Fit Plus</t>
  </si>
  <si>
    <t>#17</t>
  </si>
  <si>
    <t>GTA: San Andreas</t>
  </si>
  <si>
    <t>#18</t>
  </si>
  <si>
    <t>Super Mario World</t>
  </si>
  <si>
    <t>#19</t>
  </si>
  <si>
    <t>GTA V</t>
  </si>
  <si>
    <t>#20</t>
  </si>
  <si>
    <t>Brain Age</t>
  </si>
  <si>
    <t>New Super Mario Bros</t>
  </si>
  <si>
    <t>BAR CHART</t>
  </si>
  <si>
    <t>Make a bar chart of most games sold in gaming industries over 50 decades of time period.</t>
  </si>
  <si>
    <t>loss due to (expired)</t>
  </si>
  <si>
    <t>Gold Necklaces</t>
  </si>
  <si>
    <t>Diamond Rings</t>
  </si>
  <si>
    <t>Silver Bracelets</t>
  </si>
  <si>
    <t>Platinum Earrings</t>
  </si>
  <si>
    <t>Gemstone Pendants</t>
  </si>
  <si>
    <t>YEAR</t>
  </si>
  <si>
    <t>Yearly Profits of Tanishq Jewellers (in crores)</t>
  </si>
  <si>
    <t>Tanishq Jewellers reported their annual profits for five different types of ornaments. The profits are as follows. Make a pie chart of this report</t>
  </si>
  <si>
    <t>Return (₹ lakhs)</t>
  </si>
  <si>
    <t>Visualize these monthly returns using appropriate tools to analyze Growmore Trading's performance throughout the year.</t>
  </si>
  <si>
    <t>Growmore Trading reported their monthly returns for the year ,make a visual representation of it in waterfall chart</t>
  </si>
  <si>
    <t>WATERFALL CHART</t>
  </si>
  <si>
    <t>PIE CHART</t>
  </si>
  <si>
    <t>Create a line chart that illustrates the trends in annual supply, demand, and gold prices for the period from 2014 to 2023?"</t>
  </si>
  <si>
    <t>Chocolate company Data</t>
  </si>
  <si>
    <t>dollar</t>
  </si>
  <si>
    <t>fixed</t>
  </si>
  <si>
    <t>numbervalue</t>
  </si>
  <si>
    <t>text</t>
  </si>
  <si>
    <t>t</t>
  </si>
  <si>
    <t>value</t>
  </si>
  <si>
    <t>bahttext</t>
  </si>
  <si>
    <t>code</t>
  </si>
  <si>
    <t>char</t>
  </si>
  <si>
    <t>exact</t>
  </si>
  <si>
    <t>Date</t>
  </si>
  <si>
    <t>Product</t>
  </si>
  <si>
    <t>Amount</t>
  </si>
  <si>
    <t>Dairy</t>
  </si>
  <si>
    <t>Denmark</t>
  </si>
  <si>
    <t>Produce</t>
  </si>
  <si>
    <t>Denmark Total</t>
  </si>
  <si>
    <t>Finland</t>
  </si>
  <si>
    <t>Grain</t>
  </si>
  <si>
    <t>Finland Total</t>
  </si>
  <si>
    <t>Germany</t>
  </si>
  <si>
    <t>Germany Total</t>
  </si>
  <si>
    <t>Italy</t>
  </si>
  <si>
    <t>change in product</t>
  </si>
  <si>
    <t>change in Amount</t>
  </si>
  <si>
    <t>workbook Q1</t>
  </si>
  <si>
    <t>workbook Q2</t>
  </si>
  <si>
    <t>Fee</t>
  </si>
  <si>
    <t>Attendance</t>
  </si>
  <si>
    <t>Books Sold</t>
  </si>
  <si>
    <t>Anchorage</t>
  </si>
  <si>
    <t>Atlanta</t>
  </si>
  <si>
    <t>Boston</t>
  </si>
  <si>
    <t>Charleston</t>
  </si>
  <si>
    <t>Cleveland</t>
  </si>
  <si>
    <t>Detroit</t>
  </si>
  <si>
    <t>Flagstaff</t>
  </si>
  <si>
    <t>Los Angeles</t>
  </si>
  <si>
    <t>Memphis</t>
  </si>
  <si>
    <t>New Orleans</t>
  </si>
  <si>
    <t>New York</t>
  </si>
  <si>
    <t>Philadelphia</t>
  </si>
  <si>
    <t>Phoenix</t>
  </si>
  <si>
    <t>Portland</t>
  </si>
  <si>
    <t>Providence</t>
  </si>
  <si>
    <t>Salt Lake City</t>
  </si>
  <si>
    <t>San Francisco</t>
  </si>
  <si>
    <t>Seattle</t>
  </si>
  <si>
    <t>St. Louis</t>
  </si>
  <si>
    <t>Topeka</t>
  </si>
  <si>
    <t>Vancouver, B.C.</t>
  </si>
  <si>
    <t>Washington, D.C.</t>
  </si>
  <si>
    <t>above 20</t>
  </si>
  <si>
    <t>average</t>
  </si>
  <si>
    <t xml:space="preserve">bottom 10 </t>
  </si>
  <si>
    <t>Student</t>
  </si>
  <si>
    <t>Quiz1</t>
  </si>
  <si>
    <t>Exam1</t>
  </si>
  <si>
    <t>Quiz2</t>
  </si>
  <si>
    <t>Exam2</t>
  </si>
  <si>
    <t>Grade</t>
  </si>
  <si>
    <t>Nancy</t>
  </si>
  <si>
    <t>Andrew</t>
  </si>
  <si>
    <t>Janet</t>
  </si>
  <si>
    <t>Margaret</t>
  </si>
  <si>
    <t>Steven</t>
  </si>
  <si>
    <t>Michael</t>
  </si>
  <si>
    <t>Robert</t>
  </si>
  <si>
    <t>Laura</t>
  </si>
  <si>
    <t>Anne</t>
  </si>
  <si>
    <t>workbook Q3</t>
  </si>
  <si>
    <t xml:space="preserve"> </t>
  </si>
  <si>
    <t>Shifting</t>
  </si>
  <si>
    <t>Brakes</t>
  </si>
  <si>
    <t>Handle
Bars</t>
  </si>
  <si>
    <t>Seat</t>
  </si>
  <si>
    <t>Frequency
of Repair</t>
  </si>
  <si>
    <t>Overall
Score</t>
  </si>
  <si>
    <t>Mountain Bike</t>
  </si>
  <si>
    <t>Comfort Rider</t>
  </si>
  <si>
    <t>Hybrid</t>
  </si>
  <si>
    <t>Road Bike</t>
  </si>
  <si>
    <t>Recumbant</t>
  </si>
  <si>
    <t>Unicycle</t>
  </si>
  <si>
    <t>FY 2020</t>
  </si>
  <si>
    <t>Profits</t>
  </si>
  <si>
    <t>Trend</t>
  </si>
  <si>
    <t xml:space="preserve">&lt; $900,000    </t>
  </si>
  <si>
    <t>Sales</t>
  </si>
  <si>
    <t>NorthWest</t>
  </si>
  <si>
    <t>West</t>
  </si>
  <si>
    <t>SouthWest</t>
  </si>
  <si>
    <t>South</t>
  </si>
  <si>
    <t>Central</t>
  </si>
  <si>
    <t>NorthEast</t>
  </si>
  <si>
    <t>East</t>
  </si>
  <si>
    <t>Territories</t>
  </si>
  <si>
    <t>Total</t>
  </si>
  <si>
    <t>Country</t>
  </si>
  <si>
    <t xml:space="preserve"> Region</t>
  </si>
  <si>
    <t>Beverage</t>
  </si>
  <si>
    <t>Total Sales</t>
  </si>
  <si>
    <t>North</t>
  </si>
  <si>
    <t>Spain</t>
  </si>
  <si>
    <t>France</t>
  </si>
  <si>
    <t>Norway</t>
  </si>
  <si>
    <t>Mid</t>
  </si>
  <si>
    <t>UK</t>
  </si>
  <si>
    <t>Belgium</t>
  </si>
  <si>
    <t>Sweden</t>
  </si>
  <si>
    <t>workbook Q4</t>
  </si>
  <si>
    <t>workbook Q5</t>
  </si>
  <si>
    <t>workbook Q6</t>
  </si>
  <si>
    <t>workbook Q7</t>
  </si>
  <si>
    <t>Q1</t>
  </si>
  <si>
    <t>Q2</t>
  </si>
  <si>
    <t>Q3</t>
  </si>
  <si>
    <t>Q4</t>
  </si>
  <si>
    <t>Totals</t>
  </si>
  <si>
    <t>Division A</t>
  </si>
  <si>
    <t>Division B</t>
  </si>
  <si>
    <t>Division C</t>
  </si>
  <si>
    <t>to make a filter that only this text or nujmber should be contain we can use data validation</t>
  </si>
  <si>
    <t>we used reference in workbook Q8</t>
  </si>
  <si>
    <t xml:space="preserve">Rahul        </t>
  </si>
  <si>
    <t>SAMPLE DATA 2</t>
  </si>
  <si>
    <t>BASIC UNDERSTANDING OF FUNCTIONS</t>
  </si>
  <si>
    <t>USED</t>
  </si>
  <si>
    <t>bahtext means curreny of thailand</t>
  </si>
  <si>
    <t>T Fnc used whether data is text or not ( if it is text it show )or (if not empty cell will come)</t>
  </si>
  <si>
    <t>j</t>
  </si>
  <si>
    <t>exact used for find that both text are same or not, and it’s a case sensitive</t>
  </si>
  <si>
    <t>char help to find charcter of selected cell</t>
  </si>
  <si>
    <t>Dataset:</t>
  </si>
  <si>
    <t>We will generate a dataset with the following columns:</t>
  </si>
  <si>
    <r>
      <t>1. Employee ID</t>
    </r>
    <r>
      <rPr>
        <sz val="11"/>
        <color theme="1"/>
        <rFont val="Calibri"/>
        <family val="2"/>
        <scheme val="minor"/>
      </rPr>
      <t>: A unique identifier for each employee.</t>
    </r>
  </si>
  <si>
    <r>
      <t>2. Full Name</t>
    </r>
    <r>
      <rPr>
        <sz val="11"/>
        <color theme="1"/>
        <rFont val="Calibri"/>
        <family val="2"/>
        <scheme val="minor"/>
      </rPr>
      <t>: The full name of the employee.</t>
    </r>
  </si>
  <si>
    <r>
      <t>3. Date of Birth</t>
    </r>
    <r>
      <rPr>
        <sz val="11"/>
        <color theme="1"/>
        <rFont val="Calibri"/>
        <family val="2"/>
        <scheme val="minor"/>
      </rPr>
      <t>: The employee's birthdate.</t>
    </r>
  </si>
  <si>
    <r>
      <t>4. Monthly Salary (THB)</t>
    </r>
    <r>
      <rPr>
        <sz val="11"/>
        <color theme="1"/>
        <rFont val="Calibri"/>
        <family val="2"/>
        <scheme val="minor"/>
      </rPr>
      <t>: The monthly salary of the employee.</t>
    </r>
  </si>
  <si>
    <r>
      <t>5. Hire Date</t>
    </r>
    <r>
      <rPr>
        <sz val="11"/>
        <color theme="1"/>
        <rFont val="Calibri"/>
        <family val="2"/>
        <scheme val="minor"/>
      </rPr>
      <t>: The date the employee was hired.</t>
    </r>
  </si>
  <si>
    <r>
      <t>6. Department Code</t>
    </r>
    <r>
      <rPr>
        <sz val="11"/>
        <color theme="1"/>
        <rFont val="Calibri"/>
        <family val="2"/>
        <scheme val="minor"/>
      </rPr>
      <t>: A code representing the department the employee works in.</t>
    </r>
  </si>
  <si>
    <t>Employee ID</t>
  </si>
  <si>
    <t>Full Name</t>
  </si>
  <si>
    <t>Date of Birth</t>
  </si>
  <si>
    <t>Monthly Salary (THB)</t>
  </si>
  <si>
    <t>Hire Date</t>
  </si>
  <si>
    <t>Department Code</t>
  </si>
  <si>
    <t>E001</t>
  </si>
  <si>
    <t>D001</t>
  </si>
  <si>
    <t>E002</t>
  </si>
  <si>
    <t>D002</t>
  </si>
  <si>
    <t>E003</t>
  </si>
  <si>
    <t>D003</t>
  </si>
  <si>
    <t>E100</t>
  </si>
  <si>
    <t>D010</t>
  </si>
  <si>
    <t>Complex Problem:</t>
  </si>
  <si>
    <t>Given this dataset, we will create a report that uses all the specified functions in Excel.</t>
  </si>
  <si>
    <r>
      <t>1. Employee Initials</t>
    </r>
    <r>
      <rPr>
        <sz val="11"/>
        <color theme="1"/>
        <rFont val="Calibri"/>
        <family val="2"/>
        <scheme val="minor"/>
      </rPr>
      <t>: Use the LEFT, RIGHT, MID, FIND functions to extract the initials from the full name.</t>
    </r>
  </si>
  <si>
    <r>
      <t>2. Age</t>
    </r>
    <r>
      <rPr>
        <sz val="11"/>
        <color theme="1"/>
        <rFont val="Calibri"/>
        <family val="2"/>
        <scheme val="minor"/>
      </rPr>
      <t>:Use the TODAY function to calculate the current date and subtract the date of birth to get the age of the employee.</t>
    </r>
  </si>
  <si>
    <r>
      <t>3. Salary in USD</t>
    </r>
    <r>
      <rPr>
        <sz val="11"/>
        <color theme="1"/>
        <rFont val="Calibri"/>
        <family val="2"/>
        <scheme val="minor"/>
      </rPr>
      <t>:Convert the salary from THB to USD using a given exchange rate and use the DOLLAR function to format it.</t>
    </r>
  </si>
  <si>
    <r>
      <t>4. Formatted Hire Date</t>
    </r>
    <r>
      <rPr>
        <sz val="11"/>
        <color theme="1"/>
        <rFont val="Calibri"/>
        <family val="2"/>
        <scheme val="minor"/>
      </rPr>
      <t>:Use the TEXT function to format the hire date.</t>
    </r>
  </si>
  <si>
    <r>
      <t>7. String Length</t>
    </r>
    <r>
      <rPr>
        <sz val="11"/>
        <color theme="1"/>
        <rFont val="Calibri"/>
        <family val="2"/>
        <scheme val="minor"/>
      </rPr>
      <t>:Use the LEN function to find the length of the employee's full name.</t>
    </r>
  </si>
  <si>
    <t>John Michael Doe</t>
  </si>
  <si>
    <t>Jane Elizabeth Smith</t>
  </si>
  <si>
    <t>Michael James Johnson</t>
  </si>
  <si>
    <t>E004</t>
  </si>
  <si>
    <t>Emily Ann Brown</t>
  </si>
  <si>
    <t>D004</t>
  </si>
  <si>
    <t>E005</t>
  </si>
  <si>
    <t>William David Williams</t>
  </si>
  <si>
    <t>D005</t>
  </si>
  <si>
    <t>E006</t>
  </si>
  <si>
    <t>Linda Maria Taylor</t>
  </si>
  <si>
    <t>D006</t>
  </si>
  <si>
    <t>E007</t>
  </si>
  <si>
    <t>James Robert Anderson</t>
  </si>
  <si>
    <t>D007</t>
  </si>
  <si>
    <t>E008</t>
  </si>
  <si>
    <t>Patricia Anne Martinez</t>
  </si>
  <si>
    <t>D008</t>
  </si>
  <si>
    <t>E009</t>
  </si>
  <si>
    <t>Robert John Hernandez</t>
  </si>
  <si>
    <t>D009</t>
  </si>
  <si>
    <t>E010</t>
  </si>
  <si>
    <t>Sarah Jessica Lee</t>
  </si>
  <si>
    <t>E011</t>
  </si>
  <si>
    <t>Charles Anthony Lopez</t>
  </si>
  <si>
    <t>E012</t>
  </si>
  <si>
    <t>Barbara Ann Gonzalez</t>
  </si>
  <si>
    <t>E013</t>
  </si>
  <si>
    <t>David Thomas Wilson</t>
  </si>
  <si>
    <t>E014</t>
  </si>
  <si>
    <t>Susan Marie Clark</t>
  </si>
  <si>
    <t>E015</t>
  </si>
  <si>
    <t>Richard Edward Robinson</t>
  </si>
  <si>
    <t>E016</t>
  </si>
  <si>
    <t>Mary Louise Lewis</t>
  </si>
  <si>
    <t>E017</t>
  </si>
  <si>
    <t>Joseph Henry Walker</t>
  </si>
  <si>
    <t>E018</t>
  </si>
  <si>
    <t>Karen Patricia Hall</t>
  </si>
  <si>
    <t>E019</t>
  </si>
  <si>
    <t>Christopher John Allen</t>
  </si>
  <si>
    <t>E020</t>
  </si>
  <si>
    <t>Nancy Ann Young</t>
  </si>
  <si>
    <t>E021</t>
  </si>
  <si>
    <t>Daniel Robert King</t>
  </si>
  <si>
    <t>E022</t>
  </si>
  <si>
    <t>Michelle Anne Wright</t>
  </si>
  <si>
    <t>E023</t>
  </si>
  <si>
    <t>Brian Scott Green</t>
  </si>
  <si>
    <t>E024</t>
  </si>
  <si>
    <t>Laura Marie Adams</t>
  </si>
  <si>
    <t>E025</t>
  </si>
  <si>
    <t>Kevin John Nelson</t>
  </si>
  <si>
    <t>E026</t>
  </si>
  <si>
    <t>Kimberly Ann Baker</t>
  </si>
  <si>
    <t>E027</t>
  </si>
  <si>
    <t>Edward James Carter</t>
  </si>
  <si>
    <t>E028</t>
  </si>
  <si>
    <t>Jessica Marie Mitchell</t>
  </si>
  <si>
    <t>E029</t>
  </si>
  <si>
    <t>Ronald David Perez</t>
  </si>
  <si>
    <t>E030</t>
  </si>
  <si>
    <t>Margaret Ann Roberts</t>
  </si>
  <si>
    <t>E031</t>
  </si>
  <si>
    <t>Donald Scott Turner</t>
  </si>
  <si>
    <t>E032</t>
  </si>
  <si>
    <t>Karen Lynn Phillips</t>
  </si>
  <si>
    <t>E033</t>
  </si>
  <si>
    <t>Steven John Campbell</t>
  </si>
  <si>
    <t>E034</t>
  </si>
  <si>
    <t>Jennifer Marie Parker</t>
  </si>
  <si>
    <t>E035</t>
  </si>
  <si>
    <t>George Thomas Evans</t>
  </si>
  <si>
    <t>E036</t>
  </si>
  <si>
    <t>Angela Ann Edwards</t>
  </si>
  <si>
    <t>E037</t>
  </si>
  <si>
    <t>Paul David Collins</t>
  </si>
  <si>
    <t>E038</t>
  </si>
  <si>
    <t>Sandra Marie Stewart</t>
  </si>
  <si>
    <t>E039</t>
  </si>
  <si>
    <t>Kenneth John Morris</t>
  </si>
  <si>
    <t>E040</t>
  </si>
  <si>
    <t>Lisa Ann Rogers</t>
  </si>
  <si>
    <t>E041</t>
  </si>
  <si>
    <t>Mark Steven Reed</t>
  </si>
  <si>
    <t>E042</t>
  </si>
  <si>
    <t>Cynthia Marie Cook</t>
  </si>
  <si>
    <t>E043</t>
  </si>
  <si>
    <t>Anthony David Morgan</t>
  </si>
  <si>
    <t>E044</t>
  </si>
  <si>
    <t>Karen Ann Bell</t>
  </si>
  <si>
    <t>E045</t>
  </si>
  <si>
    <t>Timothy John Murphy</t>
  </si>
  <si>
    <t>E046</t>
  </si>
  <si>
    <t>Stephanie Marie Bailey</t>
  </si>
  <si>
    <t>E047</t>
  </si>
  <si>
    <t>Jason Robert Rivera</t>
  </si>
  <si>
    <t>E048</t>
  </si>
  <si>
    <t>Amanda Ann Cooper</t>
  </si>
  <si>
    <t>E049</t>
  </si>
  <si>
    <t>Ryan David Richardson</t>
  </si>
  <si>
    <t>E050</t>
  </si>
  <si>
    <t>Deborah Marie Cox</t>
  </si>
  <si>
    <t>E051</t>
  </si>
  <si>
    <t>Edward Thomas Howard</t>
  </si>
  <si>
    <t>E052</t>
  </si>
  <si>
    <t>Michelle Lynn Ward</t>
  </si>
  <si>
    <t>E053</t>
  </si>
  <si>
    <t>Thomas John Torres</t>
  </si>
  <si>
    <t>E054</t>
  </si>
  <si>
    <t>Mary Elizabeth Peterson</t>
  </si>
  <si>
    <t>E055</t>
  </si>
  <si>
    <t>Christopher John Gray</t>
  </si>
  <si>
    <t>E056</t>
  </si>
  <si>
    <t>Linda Ann Ramirez</t>
  </si>
  <si>
    <t>E057</t>
  </si>
  <si>
    <t>Richard David James</t>
  </si>
  <si>
    <t>E058</t>
  </si>
  <si>
    <t>Susan Marie Brooks</t>
  </si>
  <si>
    <t>E059</t>
  </si>
  <si>
    <t>Robert Thomas Powell</t>
  </si>
  <si>
    <t>E060</t>
  </si>
  <si>
    <t>Karen Ann Long</t>
  </si>
  <si>
    <t>E061</t>
  </si>
  <si>
    <t>Mark Anthony Patterson</t>
  </si>
  <si>
    <t>E062</t>
  </si>
  <si>
    <t>Laura Marie Hughes</t>
  </si>
  <si>
    <t>E063</t>
  </si>
  <si>
    <t>James Robert Flores</t>
  </si>
  <si>
    <t>E064</t>
  </si>
  <si>
    <t>Patricia Ann Washington</t>
  </si>
  <si>
    <t>E065</t>
  </si>
  <si>
    <t>Michael James Butler</t>
  </si>
  <si>
    <t>E066</t>
  </si>
  <si>
    <t>Jennifer Lynn Simmons</t>
  </si>
  <si>
    <t>E067</t>
  </si>
  <si>
    <t>William Thomas Foster</t>
  </si>
  <si>
    <t>E068</t>
  </si>
  <si>
    <t>Karen Elizabeth Ross</t>
  </si>
  <si>
    <t>E069</t>
  </si>
  <si>
    <t>Charles John Coleman</t>
  </si>
  <si>
    <t>E070</t>
  </si>
  <si>
    <t>Jessica Marie Sanders</t>
  </si>
  <si>
    <t>E071</t>
  </si>
  <si>
    <t>Daniel Scott Price</t>
  </si>
  <si>
    <t>E072</t>
  </si>
  <si>
    <t>Laura Ann Bennett</t>
  </si>
  <si>
    <t>E073</t>
  </si>
  <si>
    <t>Kevin Robert Wood</t>
  </si>
  <si>
    <t>E074</t>
  </si>
  <si>
    <t>Mary Elizabeth Barnes</t>
  </si>
  <si>
    <t>E075</t>
  </si>
  <si>
    <t>Richard David Ross</t>
  </si>
  <si>
    <t>E076</t>
  </si>
  <si>
    <t>Lisa Marie Henderson</t>
  </si>
  <si>
    <t>E077</t>
  </si>
  <si>
    <t>Brian Anthony Coleman</t>
  </si>
  <si>
    <t>E078</t>
  </si>
  <si>
    <t>Karen Ann Patterson</t>
  </si>
  <si>
    <t>E079</t>
  </si>
  <si>
    <t>Edward John Howard</t>
  </si>
  <si>
    <t>E080</t>
  </si>
  <si>
    <t>Michelle Lynn Rogers</t>
  </si>
  <si>
    <t>E081</t>
  </si>
  <si>
    <t>David Michael Lee</t>
  </si>
  <si>
    <t>E082</t>
  </si>
  <si>
    <t>Patricia Ann Clark</t>
  </si>
  <si>
    <t>E083</t>
  </si>
  <si>
    <t>Robert John Walker</t>
  </si>
  <si>
    <t>E084</t>
  </si>
  <si>
    <t>Linda Marie Hall</t>
  </si>
  <si>
    <t>E085</t>
  </si>
  <si>
    <t>Thomas David Lewis</t>
  </si>
  <si>
    <t>E086</t>
  </si>
  <si>
    <t>Karen Ann Harris</t>
  </si>
  <si>
    <t>E087</t>
  </si>
  <si>
    <t>Steven John King</t>
  </si>
  <si>
    <t>E088</t>
  </si>
  <si>
    <t>Laura Marie Scott</t>
  </si>
  <si>
    <t>E089</t>
  </si>
  <si>
    <t>Kevin Robert Young</t>
  </si>
  <si>
    <t>E090</t>
  </si>
  <si>
    <t>Mary Elizabeth Mitchell</t>
  </si>
  <si>
    <t>E091</t>
  </si>
  <si>
    <t>Richard Scott Gonzalez</t>
  </si>
  <si>
    <t>E092</t>
  </si>
  <si>
    <t>Jennifer Lynn Nelson</t>
  </si>
  <si>
    <t>E093</t>
  </si>
  <si>
    <t>William Thomas Robinson</t>
  </si>
  <si>
    <t>E094</t>
  </si>
  <si>
    <t>Laura Ann Green</t>
  </si>
  <si>
    <t>E095</t>
  </si>
  <si>
    <t>Kevin Robert White</t>
  </si>
  <si>
    <t>E096</t>
  </si>
  <si>
    <t>Michael John Adams</t>
  </si>
  <si>
    <t>E097</t>
  </si>
  <si>
    <t>Karen Elizabeth Brooks</t>
  </si>
  <si>
    <t>E098</t>
  </si>
  <si>
    <t>Jessica Marie Hernandez</t>
  </si>
  <si>
    <t>E099</t>
  </si>
  <si>
    <t>Charles John Thompson</t>
  </si>
  <si>
    <t>Lisa Marie Davis</t>
  </si>
  <si>
    <t>mid name</t>
  </si>
  <si>
    <t>Age</t>
  </si>
  <si>
    <t>Dollar currency</t>
  </si>
  <si>
    <t xml:space="preserve">Proper form </t>
  </si>
  <si>
    <r>
      <t>6. Various Text Transformations</t>
    </r>
    <r>
      <rPr>
        <sz val="11"/>
        <color theme="1"/>
        <rFont val="Calibri"/>
        <family val="2"/>
        <scheme val="minor"/>
      </rPr>
      <t>:Apply PROPER functions to transform the employee's full name.</t>
    </r>
  </si>
  <si>
    <r>
      <t>5. Concatenated Info</t>
    </r>
    <r>
      <rPr>
        <sz val="11"/>
        <color theme="1"/>
        <rFont val="Calibri"/>
        <family val="2"/>
        <scheme val="minor"/>
      </rPr>
      <t>:Combine the employee's initialsand department code using the CONCATENATE function.</t>
    </r>
  </si>
  <si>
    <r>
      <t>8. Text Function</t>
    </r>
    <r>
      <rPr>
        <sz val="11"/>
        <color theme="1"/>
        <rFont val="Calibri"/>
        <family val="2"/>
        <scheme val="minor"/>
      </rPr>
      <t>:Use the TEXT function to format numbers as text.</t>
    </r>
  </si>
  <si>
    <r>
      <t>9. Text Representation</t>
    </r>
    <r>
      <rPr>
        <sz val="11"/>
        <color theme="1"/>
        <rFont val="Calibri"/>
        <family val="2"/>
        <scheme val="minor"/>
      </rPr>
      <t>:Use the T function to return the text from a value.</t>
    </r>
  </si>
  <si>
    <t>Category</t>
  </si>
  <si>
    <t>Department</t>
  </si>
  <si>
    <t>Purchase Price</t>
  </si>
  <si>
    <t>Sale Price</t>
  </si>
  <si>
    <t>Profit/Loss</t>
  </si>
  <si>
    <t>Dry Tissues</t>
  </si>
  <si>
    <t>Cleaning Supplies</t>
  </si>
  <si>
    <t>Household</t>
  </si>
  <si>
    <t>Paper Towels</t>
  </si>
  <si>
    <t>Wet Wipes</t>
  </si>
  <si>
    <t>Chicken Dinner</t>
  </si>
  <si>
    <t>Frozen Foods</t>
  </si>
  <si>
    <t>Grocery</t>
  </si>
  <si>
    <t>Clear Refresher</t>
  </si>
  <si>
    <t>Soft Drinks</t>
  </si>
  <si>
    <t>Dried Grits</t>
  </si>
  <si>
    <t>Salty Snacks</t>
  </si>
  <si>
    <t>Extra Nougat</t>
  </si>
  <si>
    <t>Candy</t>
  </si>
  <si>
    <t>Athletic Drink</t>
  </si>
  <si>
    <t>Stew</t>
  </si>
  <si>
    <t>Jerky</t>
  </si>
  <si>
    <t>RELATIVE REFERENCE</t>
  </si>
  <si>
    <t>ABSOLUTE REFERENCE</t>
  </si>
  <si>
    <t>Order Number</t>
  </si>
  <si>
    <t>Customer</t>
  </si>
  <si>
    <t>Code</t>
  </si>
  <si>
    <t>Unit Price</t>
  </si>
  <si>
    <t>Gross Sales</t>
  </si>
  <si>
    <t>GST</t>
  </si>
  <si>
    <t>Hindol Sinha</t>
  </si>
  <si>
    <t>Suits</t>
  </si>
  <si>
    <t>W1</t>
  </si>
  <si>
    <t>Dola Das</t>
  </si>
  <si>
    <t>Coats</t>
  </si>
  <si>
    <t>H2</t>
  </si>
  <si>
    <t>Deepak Sharma</t>
  </si>
  <si>
    <t>C4</t>
  </si>
  <si>
    <t>Uma Nag</t>
  </si>
  <si>
    <t>Ties</t>
  </si>
  <si>
    <t>T1</t>
  </si>
  <si>
    <t>Sayak Pal</t>
  </si>
  <si>
    <t>Hats</t>
  </si>
  <si>
    <t>C1</t>
  </si>
  <si>
    <t>Srijan Das</t>
  </si>
  <si>
    <t>Srijita Agarwal</t>
  </si>
  <si>
    <t>Shoes</t>
  </si>
  <si>
    <t>H1</t>
  </si>
  <si>
    <t>Rina Karmakar</t>
  </si>
  <si>
    <t>S2</t>
  </si>
  <si>
    <t>Lily Roy</t>
  </si>
  <si>
    <t>T5</t>
  </si>
  <si>
    <t>Sonali Gupta</t>
  </si>
  <si>
    <t>Deepali Srivastava</t>
  </si>
  <si>
    <t xml:space="preserve">Rakhi </t>
  </si>
  <si>
    <t>Deepak Chandra Fulara</t>
  </si>
  <si>
    <t>Kavita Rawat</t>
  </si>
  <si>
    <t>Aakash Nagpal</t>
  </si>
  <si>
    <t>Ranit Chowdhury</t>
  </si>
  <si>
    <t>Priya Shaw</t>
  </si>
  <si>
    <t>Nikhita Jain</t>
  </si>
  <si>
    <t>Sreyashi Paul</t>
  </si>
  <si>
    <t>Ashu Dubey</t>
  </si>
  <si>
    <t>Prerna Tomar</t>
  </si>
  <si>
    <t>Ajay Kumar Mishra</t>
  </si>
  <si>
    <t xml:space="preserve">Jaishree </t>
  </si>
  <si>
    <t>Jatinder Singh</t>
  </si>
  <si>
    <t>Shashi Kumar</t>
  </si>
  <si>
    <t xml:space="preserve">Navdeep </t>
  </si>
  <si>
    <t>Sadhana Saini</t>
  </si>
  <si>
    <t>Manish Gupta</t>
  </si>
  <si>
    <t>Ritika Prasher</t>
  </si>
  <si>
    <t>Gurjinder Singh</t>
  </si>
  <si>
    <t>Sweety Gupta</t>
  </si>
  <si>
    <t>Radhe Prajapati</t>
  </si>
  <si>
    <t>Sandipa Sarkar</t>
  </si>
  <si>
    <t>Joydev Halder</t>
  </si>
  <si>
    <t>Sumanta Das</t>
  </si>
  <si>
    <t>Dipan Paul</t>
  </si>
  <si>
    <t>Biswajit Mahata</t>
  </si>
  <si>
    <t>Amit Samanta</t>
  </si>
  <si>
    <t>Raj Dutta</t>
  </si>
  <si>
    <t>Anshu Kumari</t>
  </si>
  <si>
    <t>Pallabi Guha</t>
  </si>
  <si>
    <t>Arup Kumar Banik</t>
  </si>
  <si>
    <t>Sayan Das Sarkar</t>
  </si>
  <si>
    <t>Chenithung J Kikon</t>
  </si>
  <si>
    <t>Pritam Singh Saha</t>
  </si>
  <si>
    <t>Hena Biswas</t>
  </si>
  <si>
    <t>Raeesah Tamboli</t>
  </si>
  <si>
    <t>Rupali Bhise</t>
  </si>
  <si>
    <t>Deepak Kumar Chaurasiya</t>
  </si>
  <si>
    <t>Pragati Sawant</t>
  </si>
  <si>
    <t>Savita Ghotane</t>
  </si>
  <si>
    <t>Sibaram Padhi</t>
  </si>
  <si>
    <t>Aparna Ghosh</t>
  </si>
  <si>
    <t>Akram Hossain</t>
  </si>
  <si>
    <t>Ramesh Chandra Das</t>
  </si>
  <si>
    <t>Puja Jana</t>
  </si>
  <si>
    <t>Abhijeet Agarwal</t>
  </si>
  <si>
    <t>Divya Bharti</t>
  </si>
  <si>
    <t>Amit Butola</t>
  </si>
  <si>
    <t>Mohit Singh</t>
  </si>
  <si>
    <t>Pramod Rawat</t>
  </si>
  <si>
    <t>Neeraj Upadhyay</t>
  </si>
  <si>
    <t>Ram Balak Sharma</t>
  </si>
  <si>
    <t>Amit Chauhan</t>
  </si>
  <si>
    <t>Pushkal Aggarwal</t>
  </si>
  <si>
    <t xml:space="preserve">Pooja </t>
  </si>
  <si>
    <t>Prabhjeet Kaur Sachdeva</t>
  </si>
  <si>
    <t>Roshni Gupta</t>
  </si>
  <si>
    <t>Sahil Husain Naik</t>
  </si>
  <si>
    <t>Trupti Parab</t>
  </si>
  <si>
    <t>Avijit Pratihar</t>
  </si>
  <si>
    <t>Nidhi Yadav</t>
  </si>
  <si>
    <t>Preet Baid</t>
  </si>
  <si>
    <t>Sudipta Pattanayak</t>
  </si>
  <si>
    <t>Pooja Pandey</t>
  </si>
  <si>
    <t>Akash Goel</t>
  </si>
  <si>
    <t>Kamini Barmecha</t>
  </si>
  <si>
    <t>Deblina Ghatak</t>
  </si>
  <si>
    <t>Sales Person</t>
  </si>
  <si>
    <t>Target (in INR)</t>
  </si>
  <si>
    <t>Jinia Ghosh</t>
  </si>
  <si>
    <t>Alok Kundu</t>
  </si>
  <si>
    <t>Soham Das</t>
  </si>
  <si>
    <t>Sandip Jana</t>
  </si>
  <si>
    <t>Nilay Guha</t>
  </si>
  <si>
    <t>Mrinal Kayal</t>
  </si>
  <si>
    <t>Keya Barman</t>
  </si>
  <si>
    <t>Joy Saha</t>
  </si>
  <si>
    <t>Mithun Chaudhury</t>
  </si>
  <si>
    <t>Manas Das</t>
  </si>
  <si>
    <t>MIXED REFERENCE</t>
  </si>
  <si>
    <t>In these we fixed a cell value using dollar sign as shown in right side</t>
  </si>
  <si>
    <t>In these we fixed a single row cell number using dollar sign as shown in right side for calculation</t>
  </si>
  <si>
    <t>Combine(DC+ID+AGE)</t>
  </si>
  <si>
    <t>use syntax in text function (" ")</t>
  </si>
  <si>
    <t xml:space="preserve">we use (INT) fn in age to get round number in age </t>
  </si>
  <si>
    <t xml:space="preserve"> Age of a Person</t>
  </si>
  <si>
    <t>LOGICAL CALCULATION</t>
  </si>
  <si>
    <t xml:space="preserve"> Table format </t>
  </si>
  <si>
    <t>DATA ARRANGEMENT</t>
  </si>
  <si>
    <t>QUESTION</t>
  </si>
  <si>
    <t>CHARTS</t>
  </si>
  <si>
    <t xml:space="preserve">CHARTS </t>
  </si>
  <si>
    <t>TEXT FUNCTIONS</t>
  </si>
  <si>
    <t>T function</t>
  </si>
  <si>
    <t>10 MODULE</t>
  </si>
  <si>
    <t>MATHEMATICAL FUNCTIONS</t>
  </si>
  <si>
    <t>DATABASE FUNCTIONS</t>
  </si>
  <si>
    <t>11 MODULE</t>
  </si>
  <si>
    <t>POWER</t>
  </si>
  <si>
    <t>SQRT</t>
  </si>
  <si>
    <t>INDEX and MATCH</t>
  </si>
  <si>
    <t>workbook Q8</t>
  </si>
  <si>
    <t>BASIC UNDERSTANDING</t>
  </si>
  <si>
    <t>FUNCTIONS</t>
  </si>
  <si>
    <t>Points to be Noted</t>
  </si>
  <si>
    <t>count fn only counts numericals numbers</t>
  </si>
  <si>
    <t>countif used for giving conditions (only 1)</t>
  </si>
  <si>
    <t xml:space="preserve">countifs used for giving two conditions </t>
  </si>
  <si>
    <t>sum fn only sums numericals numbers</t>
  </si>
  <si>
    <t>sumif used for giving conditions (only 1)</t>
  </si>
  <si>
    <t xml:space="preserve">sumifs used for giving two conditions </t>
  </si>
  <si>
    <t>1. The total sales for all products.</t>
  </si>
  <si>
    <t>2. The total sales for "Apples".</t>
  </si>
  <si>
    <t>3. The total sales for "Oranges" in the "North" region.</t>
  </si>
  <si>
    <t>4. The total sales for "Bananas" in the "South" region in the month of "March".</t>
  </si>
  <si>
    <t>Apples</t>
  </si>
  <si>
    <t>Oranges</t>
  </si>
  <si>
    <t>Bananas</t>
  </si>
  <si>
    <t>Question</t>
  </si>
  <si>
    <t>You are given the following sales data for various products in different regions and months. Calculate the following using formula</t>
  </si>
  <si>
    <t>Solution</t>
  </si>
  <si>
    <t xml:space="preserve">total sales of all products </t>
  </si>
  <si>
    <t>total sales of apples</t>
  </si>
  <si>
    <t>Answer</t>
  </si>
  <si>
    <t>formula</t>
  </si>
  <si>
    <t>Heading</t>
  </si>
  <si>
    <t>sale of oranges in north</t>
  </si>
  <si>
    <t>sale of bananas in south in march</t>
  </si>
  <si>
    <t>counta counts text and numbers both and aslo count empty cell in multiple columns</t>
  </si>
  <si>
    <t>1. The total number of sales entries.</t>
  </si>
  <si>
    <t>2. The total number of non-empty cells in the "Car Company" column.</t>
  </si>
  <si>
    <t>3. The number of sales entries for "Toyota".</t>
  </si>
  <si>
    <t>4. The number of sales entries for "Ford" in the "East" region.</t>
  </si>
  <si>
    <t>5. The number of sales entries that were "Completed" in the "West" region.</t>
  </si>
  <si>
    <t>Car Company</t>
  </si>
  <si>
    <t>Status</t>
  </si>
  <si>
    <t>Completed</t>
  </si>
  <si>
    <t>Pending</t>
  </si>
  <si>
    <t>You are given the following dataset of car companies, their sales, the regions they were sold in, and the sale status. Calculate the following the formulas</t>
  </si>
  <si>
    <t>total sales entries</t>
  </si>
  <si>
    <t>non empty cells</t>
  </si>
  <si>
    <t>sales entries of toyota</t>
  </si>
  <si>
    <t>entries of ford in east</t>
  </si>
  <si>
    <t>completed in west</t>
  </si>
  <si>
    <r>
      <t>POWER(2, 3)</t>
    </r>
    <r>
      <rPr>
        <sz val="11"/>
        <color theme="1"/>
        <rFont val="Calibri"/>
        <family val="2"/>
        <scheme val="minor"/>
      </rPr>
      <t xml:space="preserve"> results in </t>
    </r>
    <r>
      <rPr>
        <sz val="10"/>
        <color theme="1"/>
        <rFont val="Arial Unicode MS"/>
      </rPr>
      <t>8</t>
    </r>
    <r>
      <rPr>
        <sz val="11"/>
        <color theme="1"/>
        <rFont val="Calibri"/>
        <family val="2"/>
        <scheme val="minor"/>
      </rPr>
      <t xml:space="preserve"> (because 2x2x2=8)</t>
    </r>
  </si>
  <si>
    <t>Sqrt = help to find the square of a number ,ex</t>
  </si>
  <si>
    <t>power used to find exponential power of numbers, ex</t>
  </si>
  <si>
    <t>sqrt(9) = 3</t>
  </si>
  <si>
    <t>You are given the following dataset of various numbers. Calculate the following:</t>
  </si>
  <si>
    <t>1. The value of each number raised to the power of 3.</t>
  </si>
  <si>
    <t>2. The square root of each number.</t>
  </si>
  <si>
    <t>Number</t>
  </si>
  <si>
    <t>Instructions:</t>
  </si>
  <si>
    <r>
      <t xml:space="preserve">2. Use the </t>
    </r>
    <r>
      <rPr>
        <sz val="10"/>
        <color theme="1"/>
        <rFont val="Arial Unicode MS"/>
      </rPr>
      <t>SQRT</t>
    </r>
    <r>
      <rPr>
        <sz val="11"/>
        <color theme="1"/>
        <rFont val="Calibri"/>
        <family val="2"/>
        <scheme val="minor"/>
      </rPr>
      <t xml:space="preserve"> function to calculate the square root of each number.</t>
    </r>
  </si>
  <si>
    <r>
      <t xml:space="preserve">1. Use the </t>
    </r>
    <r>
      <rPr>
        <sz val="10"/>
        <color theme="1"/>
        <rFont val="Arial Unicode MS"/>
      </rPr>
      <t>POWER</t>
    </r>
    <r>
      <rPr>
        <sz val="11"/>
        <color theme="1"/>
        <rFont val="Calibri"/>
        <family val="2"/>
        <scheme val="minor"/>
      </rPr>
      <t xml:space="preserve"> function to calculate each number </t>
    </r>
  </si>
  <si>
    <t>lookup</t>
  </si>
  <si>
    <t xml:space="preserve"> lookup help to find data from selected zone</t>
  </si>
  <si>
    <t xml:space="preserve">if the value came above the desire value , it give its previous value of data </t>
  </si>
  <si>
    <t>limitation</t>
  </si>
  <si>
    <t>solution</t>
  </si>
  <si>
    <t>it always give data to last selected cell (column,row)</t>
  </si>
  <si>
    <t>it always check the data of first column/row of selected cell to give result</t>
  </si>
  <si>
    <t>data should always in ascending or correct form to get right result</t>
  </si>
  <si>
    <t>0 - Exact value ( if data did not have that value it give us error)</t>
  </si>
  <si>
    <t>1- approx value ( it give us previous data value that is smaller than our desired value)</t>
  </si>
  <si>
    <t>Sample Data 1</t>
  </si>
  <si>
    <t>Vlookup - Vertical lookup  (|)</t>
  </si>
  <si>
    <t>Hlookup - Horizontal lookup  (-----)</t>
  </si>
  <si>
    <t>Xlookup ( most useful and smartest lookup available in 2021 version)</t>
  </si>
  <si>
    <t>Product ID</t>
  </si>
  <si>
    <t>Price</t>
  </si>
  <si>
    <t>Stock</t>
  </si>
  <si>
    <t>Supplier</t>
  </si>
  <si>
    <t>Rating</t>
  </si>
  <si>
    <t>Discount</t>
  </si>
  <si>
    <t>iPhone 13</t>
  </si>
  <si>
    <t>Smartphones</t>
  </si>
  <si>
    <t>John Smith</t>
  </si>
  <si>
    <t>Galaxy S21</t>
  </si>
  <si>
    <t>Jane Doe</t>
  </si>
  <si>
    <t>Pixel 6</t>
  </si>
  <si>
    <t>Michael Johnson</t>
  </si>
  <si>
    <t>OnePlus 9</t>
  </si>
  <si>
    <t>Emily Davis</t>
  </si>
  <si>
    <t>Redmi Note 10</t>
  </si>
  <si>
    <t>Chris Brown</t>
  </si>
  <si>
    <t>Moto G Power</t>
  </si>
  <si>
    <t>Sarah Wilson</t>
  </si>
  <si>
    <t>Xperia 5 III</t>
  </si>
  <si>
    <t>Daniel Martinez</t>
  </si>
  <si>
    <t>Nokia 8.3</t>
  </si>
  <si>
    <t>Laura White</t>
  </si>
  <si>
    <t>LG Velvet</t>
  </si>
  <si>
    <t>Robert Harris</t>
  </si>
  <si>
    <t>Huawei P30</t>
  </si>
  <si>
    <t>Jessica Clark</t>
  </si>
  <si>
    <t>ZTE Axon 20</t>
  </si>
  <si>
    <t>David Lewis</t>
  </si>
  <si>
    <t>HTC U12+</t>
  </si>
  <si>
    <t>Angela Robinson</t>
  </si>
  <si>
    <t>Oppo Find X3</t>
  </si>
  <si>
    <t>Thomas Walker</t>
  </si>
  <si>
    <t>Vivo X60</t>
  </si>
  <si>
    <t>Amy Hall</t>
  </si>
  <si>
    <t>Asus ROG Phone 5</t>
  </si>
  <si>
    <t>Steven Allen</t>
  </si>
  <si>
    <t>Realme GT</t>
  </si>
  <si>
    <t>Ashley Young</t>
  </si>
  <si>
    <t>Honor 50</t>
  </si>
  <si>
    <t>Brian King</t>
  </si>
  <si>
    <t>BlackBerry Key2</t>
  </si>
  <si>
    <t>Karen Wright</t>
  </si>
  <si>
    <t>Fairphone 3+</t>
  </si>
  <si>
    <t>Edward Scott</t>
  </si>
  <si>
    <t>Palm Phone</t>
  </si>
  <si>
    <t>Lisa Adams</t>
  </si>
  <si>
    <t>VLOOKUP Questions</t>
  </si>
  <si>
    <t>2. Find the stock available for the Pixel 6 using the VLOOKUP function.</t>
  </si>
  <si>
    <t>3. Determine the supplier for the Galaxy S21 using the VLOOKUP function.</t>
  </si>
  <si>
    <t>4. Find the discount percentage for the Redmi Note 10 using the VLOOKUP function.</t>
  </si>
  <si>
    <t>5. Retrieve the rating for the OnePlus 9 using the VLOOKUP function.</t>
  </si>
  <si>
    <t>6. Find the price of the Nokia 8.3 using the VLOOKUP function.</t>
  </si>
  <si>
    <t>7. Determine the supplier for the Xperia 5 III using the VLOOKUP function.</t>
  </si>
  <si>
    <t>8. Retrieve the stock available for the LG Velvet using the VLOOKUP function.</t>
  </si>
  <si>
    <t>9. Find the rating for the Oppo Find X3 using the VLOOKUP function.</t>
  </si>
  <si>
    <t>10. Determine the discount for the Moto G Power using the VLOOKUP function.</t>
  </si>
  <si>
    <t>HLOOKUP Questions</t>
  </si>
  <si>
    <t>Phone Names</t>
  </si>
  <si>
    <t>Solutions</t>
  </si>
  <si>
    <t>function</t>
  </si>
  <si>
    <t>iphone 13</t>
  </si>
  <si>
    <t>pixel 6</t>
  </si>
  <si>
    <t>redmi note 10</t>
  </si>
  <si>
    <t>oneplus 9</t>
  </si>
  <si>
    <t>nokia 8.3</t>
  </si>
  <si>
    <t>xperia 5 III</t>
  </si>
  <si>
    <t>Oppo find X3</t>
  </si>
  <si>
    <t>Hlookup Answers</t>
  </si>
  <si>
    <t>Vlookup Answers</t>
  </si>
  <si>
    <t xml:space="preserve">1. Using the above dataset, find the price of the iPhone 13 using the VLOOKUP function </t>
  </si>
  <si>
    <t xml:space="preserve">10. Retrieve the stock available for the phone with a Product ID of 108 </t>
  </si>
  <si>
    <t>1. Using the above dataset, find the phone name with a Product ID of 106 .</t>
  </si>
  <si>
    <t>2. Determine the category of the phone with a Product ID of 112 .</t>
  </si>
  <si>
    <t>3. Find the price of the phone with a Product ID of 118 .</t>
  </si>
  <si>
    <t>4. Retrieve the stock available for the phone with a Product ID of 110 .</t>
  </si>
  <si>
    <t>5. Find the supplier for the phone with a Product ID of 109 .</t>
  </si>
  <si>
    <t>6. Determine the rating of the phone with a Product ID of 105 .</t>
  </si>
  <si>
    <t>7. Retrieve the discount for the phone with a Product ID of 116 .</t>
  </si>
  <si>
    <t>8. Find the price of the phone with a Product ID of 114 .</t>
  </si>
  <si>
    <t>9. Determine the supplier for the phone with a Product ID of 119 .</t>
  </si>
  <si>
    <t>Match function help to find the position of desired data</t>
  </si>
  <si>
    <t>Index function help to get the desire data from selected array</t>
  </si>
  <si>
    <t>Suppose you have a dataset with sales data for different products across various regions and quarters. You need to create a formula that can retrieve the sales figure for a specific product, region, and quarter.</t>
  </si>
  <si>
    <t>Data Layout:</t>
  </si>
  <si>
    <t>Sheet1 (Sales Data):</t>
  </si>
  <si>
    <t>Q1 2023</t>
  </si>
  <si>
    <t>Q2 2023</t>
  </si>
  <si>
    <t>Q3 2023</t>
  </si>
  <si>
    <t>Q4 2023</t>
  </si>
  <si>
    <t>Apple</t>
  </si>
  <si>
    <t>Redmi</t>
  </si>
  <si>
    <t>Sheet2 (Criteria):</t>
  </si>
  <si>
    <t>Criteria</t>
  </si>
  <si>
    <t>Value</t>
  </si>
  <si>
    <t>Quarter</t>
  </si>
  <si>
    <t>Question 1</t>
  </si>
  <si>
    <t>Question 2</t>
  </si>
  <si>
    <t>Quartly</t>
  </si>
  <si>
    <t>Result</t>
  </si>
  <si>
    <t>A</t>
  </si>
  <si>
    <t>B</t>
  </si>
  <si>
    <t>C</t>
  </si>
  <si>
    <t>D</t>
  </si>
  <si>
    <t>E</t>
  </si>
  <si>
    <t>F</t>
  </si>
  <si>
    <t>G</t>
  </si>
  <si>
    <t>H</t>
  </si>
  <si>
    <t>I</t>
  </si>
  <si>
    <t>J</t>
  </si>
  <si>
    <t>store</t>
  </si>
  <si>
    <t>mean = average</t>
  </si>
  <si>
    <t>median = The middle value in a list of numbers</t>
  </si>
  <si>
    <t>mode  = The number that appears most frequently in a list.</t>
  </si>
  <si>
    <r>
      <rPr>
        <sz val="10"/>
        <color theme="1"/>
        <rFont val="Arial Unicode MS"/>
      </rPr>
      <t>{=MODE.SNGL(range)</t>
    </r>
    <r>
      <rPr>
        <sz val="11"/>
        <color theme="1"/>
        <rFont val="Calibri"/>
        <family val="2"/>
        <scheme val="minor"/>
      </rPr>
      <t xml:space="preserve"> (for a single mode) or </t>
    </r>
    <r>
      <rPr>
        <sz val="10"/>
        <color theme="1"/>
        <rFont val="Arial Unicode MS"/>
      </rPr>
      <t xml:space="preserve">=MODE.MULT(range) </t>
    </r>
    <r>
      <rPr>
        <sz val="11"/>
        <color theme="1"/>
        <rFont val="Calibri"/>
        <family val="2"/>
        <scheme val="minor"/>
      </rPr>
      <t>for multiples}</t>
    </r>
  </si>
  <si>
    <t>mean</t>
  </si>
  <si>
    <t>median</t>
  </si>
  <si>
    <t>mode</t>
  </si>
  <si>
    <t>find mean median and mode of above table</t>
  </si>
  <si>
    <t xml:space="preserve">formula </t>
  </si>
  <si>
    <t>You work for a company that tracks the sales performance of various supercars across different regions. You have a table that lists the sales data for each supercar model in different regions, as well as another table that lists the target sales for each model in each region.</t>
  </si>
  <si>
    <t>Model</t>
  </si>
  <si>
    <t>Q1 Sales</t>
  </si>
  <si>
    <t>Q2 Sales</t>
  </si>
  <si>
    <t>Q3 Sales</t>
  </si>
  <si>
    <t>Ferrari 488</t>
  </si>
  <si>
    <t>Lamborghini</t>
  </si>
  <si>
    <t>Porsche 911</t>
  </si>
  <si>
    <t>McLaren 720S</t>
  </si>
  <si>
    <t>Bugatti Chiron</t>
  </si>
  <si>
    <t>Aston Martin</t>
  </si>
  <si>
    <t>Maserati</t>
  </si>
  <si>
    <t>Koenigsegg</t>
  </si>
  <si>
    <t>Pagani Huayra</t>
  </si>
  <si>
    <t>Ferrari Roma</t>
  </si>
  <si>
    <t>Lamborghini Huracan</t>
  </si>
  <si>
    <t>Porsche Taycan</t>
  </si>
  <si>
    <t>Target Sales</t>
  </si>
  <si>
    <t>Using the INDEX and MATCH functions, create a formula to find the actual sales figure for "Lamborghini" in the "South" region during Q2. Then compare it with the target sales to determine if the target was met, exceeded, or not met.</t>
  </si>
  <si>
    <t>Question 3</t>
  </si>
  <si>
    <r>
      <t>2. Target Sales Table</t>
    </r>
    <r>
      <rPr>
        <sz val="11"/>
        <color theme="1"/>
        <rFont val="Calibri"/>
        <family val="2"/>
        <scheme val="minor"/>
      </rPr>
      <t xml:space="preserve"> </t>
    </r>
  </si>
  <si>
    <t>Actual sales</t>
  </si>
  <si>
    <t>ACTUAL SALES:</t>
  </si>
  <si>
    <t>Formulas</t>
  </si>
  <si>
    <t>Actual Sales</t>
  </si>
  <si>
    <t>Quartely</t>
  </si>
  <si>
    <t xml:space="preserve">for Further Analysis </t>
  </si>
  <si>
    <t>You are given a table of customers with their age, student status, and amount spent. Determine if each customer qualifies for a special discount using the criteria:</t>
  </si>
  <si>
    <t>1. The customer must be either a senior citizen (age 65 or older) or a student (with a valid student ID).</t>
  </si>
  <si>
    <t>2. The customer must have spent at least $100 in the store.</t>
  </si>
  <si>
    <r>
      <t xml:space="preserve">Fill out the "Qualifies for Discount" column with </t>
    </r>
    <r>
      <rPr>
        <sz val="10"/>
        <color theme="1"/>
        <rFont val="Arial Unicode MS"/>
      </rPr>
      <t>TRUE</t>
    </r>
    <r>
      <rPr>
        <sz val="11"/>
        <color theme="1"/>
        <rFont val="Calibri"/>
        <family val="2"/>
        <scheme val="minor"/>
      </rPr>
      <t xml:space="preserve"> if the customer qualifies for the discount and </t>
    </r>
    <r>
      <rPr>
        <sz val="10"/>
        <color theme="1"/>
        <rFont val="Arial Unicode MS"/>
      </rPr>
      <t>FALSE</t>
    </r>
    <r>
      <rPr>
        <sz val="11"/>
        <color theme="1"/>
        <rFont val="Calibri"/>
        <family val="2"/>
        <scheme val="minor"/>
      </rPr>
      <t xml:space="preserve"> otherwise.</t>
    </r>
  </si>
  <si>
    <t>Sample Data:</t>
  </si>
  <si>
    <t>Student (Y/N)</t>
  </si>
  <si>
    <t>Amount Spent</t>
  </si>
  <si>
    <t>Qualifies for Discount</t>
  </si>
  <si>
    <t>N</t>
  </si>
  <si>
    <t>Y</t>
  </si>
  <si>
    <t>we should always write text in inverted commas</t>
  </si>
  <si>
    <t>1. The product must have total sales exceeding $1,000,000.</t>
  </si>
  <si>
    <t>2. The product must have been sold in at least 10 stores.</t>
  </si>
  <si>
    <t>3. If the product is in the "Electronics" category, it must have an average customer rating of at least 4.5.</t>
  </si>
  <si>
    <t>4. If the product is in the "Furniture" category, it must have a return rate of less than 5%.</t>
  </si>
  <si>
    <t>Product Name</t>
  </si>
  <si>
    <t>Total Sales ($)</t>
  </si>
  <si>
    <t>Number of Stores</t>
  </si>
  <si>
    <t>Customer Rating</t>
  </si>
  <si>
    <t>Return Rate (%)</t>
  </si>
  <si>
    <t>Product A</t>
  </si>
  <si>
    <t>Electronics</t>
  </si>
  <si>
    <t>Product B</t>
  </si>
  <si>
    <t>Furniture</t>
  </si>
  <si>
    <t>Clothing</t>
  </si>
  <si>
    <t>Product D</t>
  </si>
  <si>
    <t>Groceries</t>
  </si>
  <si>
    <t>Product E</t>
  </si>
  <si>
    <t>Product F</t>
  </si>
  <si>
    <t>Product G</t>
  </si>
  <si>
    <t>You are an analyst for a large retail company, and you need to identify top-performing products based on several criteria.</t>
  </si>
  <si>
    <t xml:space="preserve"> You have a large dataset with sales data for different products across various stores. Your task is to determine if a product qualifies as a "Top Performer". </t>
  </si>
  <si>
    <t>The criteria for a product to be considered a "Top Performer" are:</t>
  </si>
  <si>
    <r>
      <t xml:space="preserve">Fill in the table below with sample data and then write an Excel formula using the </t>
    </r>
    <r>
      <rPr>
        <sz val="10"/>
        <color theme="1"/>
        <rFont val="Arial Unicode MS"/>
      </rPr>
      <t>IF</t>
    </r>
    <r>
      <rPr>
        <sz val="11"/>
        <color theme="1"/>
        <rFont val="Calibri"/>
        <family val="2"/>
        <scheme val="minor"/>
      </rPr>
      <t xml:space="preserve">, </t>
    </r>
    <r>
      <rPr>
        <sz val="10"/>
        <color theme="1"/>
        <rFont val="Arial Unicode MS"/>
      </rPr>
      <t>AND</t>
    </r>
    <r>
      <rPr>
        <sz val="11"/>
        <color theme="1"/>
        <rFont val="Calibri"/>
        <family val="2"/>
        <scheme val="minor"/>
      </rPr>
      <t xml:space="preserve">, and </t>
    </r>
    <r>
      <rPr>
        <sz val="10"/>
        <color theme="1"/>
        <rFont val="Arial Unicode MS"/>
      </rPr>
      <t>OR</t>
    </r>
    <r>
      <rPr>
        <sz val="11"/>
        <color theme="1"/>
        <rFont val="Calibri"/>
        <family val="2"/>
        <scheme val="minor"/>
      </rPr>
      <t xml:space="preserve"> functions to determine if a product qualifies as a "Top Performer". </t>
    </r>
  </si>
  <si>
    <t>The formula should return "Top Performer" if the product qualifies and "Not a Top Performer" if it does not.</t>
  </si>
  <si>
    <t>Sales Amount ($)</t>
  </si>
  <si>
    <t>Number of Units Sold</t>
  </si>
  <si>
    <t>Sales Date</t>
  </si>
  <si>
    <t>Customer Feedback</t>
  </si>
  <si>
    <t>Discount (%)</t>
  </si>
  <si>
    <t>Supplier Name</t>
  </si>
  <si>
    <t>Warranty Period (months)</t>
  </si>
  <si>
    <t>Customer DOB</t>
  </si>
  <si>
    <t>Sales Channel</t>
  </si>
  <si>
    <t>Inventory Level</t>
  </si>
  <si>
    <t>Shipping Cost ($)</t>
  </si>
  <si>
    <t>Payment Method</t>
  </si>
  <si>
    <t>Store Location</t>
  </si>
  <si>
    <t>Marketing Spend ($)</t>
  </si>
  <si>
    <t>Promotion Used</t>
  </si>
  <si>
    <t>Samsung Galaxy Z Fold2</t>
  </si>
  <si>
    <t>01/25/2023</t>
  </si>
  <si>
    <t>Amazing foldable screen</t>
  </si>
  <si>
    <t>Katherine F. Wright</t>
  </si>
  <si>
    <t>In-Store</t>
  </si>
  <si>
    <t>High</t>
  </si>
  <si>
    <t>PayPal</t>
  </si>
  <si>
    <t>Miami</t>
  </si>
  <si>
    <t>Winter Sale</t>
  </si>
  <si>
    <t>Google Pixel 5</t>
  </si>
  <si>
    <t>01/29/2023</t>
  </si>
  <si>
    <t>Great camera</t>
  </si>
  <si>
    <t>Karen N. Harris</t>
  </si>
  <si>
    <t>Online</t>
  </si>
  <si>
    <t>Low</t>
  </si>
  <si>
    <t>Debit Card</t>
  </si>
  <si>
    <t>Spring Sale</t>
  </si>
  <si>
    <t>LG Wing</t>
  </si>
  <si>
    <t>Innovative but bulky</t>
  </si>
  <si>
    <t>Donna R. Allen</t>
  </si>
  <si>
    <t>Medium</t>
  </si>
  <si>
    <t>Dallas</t>
  </si>
  <si>
    <t>End of Season Sale</t>
  </si>
  <si>
    <t>Oppo Find X2</t>
  </si>
  <si>
    <t>02/22/2023</t>
  </si>
  <si>
    <t>Decent performance</t>
  </si>
  <si>
    <t>Timothy W. Hernandez</t>
  </si>
  <si>
    <t>Chicago</t>
  </si>
  <si>
    <t>Xiaomi Mi 11</t>
  </si>
  <si>
    <t>Affordable and reliable</t>
  </si>
  <si>
    <t>Elizabeth J. Taylor</t>
  </si>
  <si>
    <t>Flash Sale</t>
  </si>
  <si>
    <t>iPhone 12 Mini</t>
  </si>
  <si>
    <t>Good performance</t>
  </si>
  <si>
    <t>Sarah L. Jackson</t>
  </si>
  <si>
    <t>iPhone 13 Pro</t>
  </si>
  <si>
    <t>01/15/2023</t>
  </si>
  <si>
    <t>Excellent product</t>
  </si>
  <si>
    <t>John A. Smith</t>
  </si>
  <si>
    <t>Credit Card</t>
  </si>
  <si>
    <t>Black Friday</t>
  </si>
  <si>
    <t>01/22/2023</t>
  </si>
  <si>
    <t>Innovative design</t>
  </si>
  <si>
    <t>Deborah Y. Thompson</t>
  </si>
  <si>
    <t>Holiday Sale</t>
  </si>
  <si>
    <t>Sony Xperia 1</t>
  </si>
  <si>
    <t>02/20/2023</t>
  </si>
  <si>
    <t>High-quality display</t>
  </si>
  <si>
    <t>Steven Q. Young</t>
  </si>
  <si>
    <t>Google Pixel 4a</t>
  </si>
  <si>
    <t>03/23/2023</t>
  </si>
  <si>
    <t>Compact and reliable</t>
  </si>
  <si>
    <t>Larry G. King</t>
  </si>
  <si>
    <t>Google Pixel 6</t>
  </si>
  <si>
    <t>James C. Williams</t>
  </si>
  <si>
    <t>New Year Sale</t>
  </si>
  <si>
    <t>Motorola G Stylus</t>
  </si>
  <si>
    <t>01/30/2023</t>
  </si>
  <si>
    <t>Affordable and useful</t>
  </si>
  <si>
    <t>Nathan I. Johnson</t>
  </si>
  <si>
    <t>Barbara H. Wilson</t>
  </si>
  <si>
    <t>Apple iPhone SE</t>
  </si>
  <si>
    <t>Exceeds expectations</t>
  </si>
  <si>
    <t>William I. Moore</t>
  </si>
  <si>
    <t>03/14/2023</t>
  </si>
  <si>
    <t>Excellent for gaming</t>
  </si>
  <si>
    <t>Frank A. Lewis</t>
  </si>
  <si>
    <t>Cyber Monday</t>
  </si>
  <si>
    <t>Fast and reliable</t>
  </si>
  <si>
    <t>Edward Z. Martinez</t>
  </si>
  <si>
    <t>01/20/2023</t>
  </si>
  <si>
    <t>Excellent value</t>
  </si>
  <si>
    <t>Patricia D. Brown</t>
  </si>
  <si>
    <t>Nokia 5.3</t>
  </si>
  <si>
    <t>Budget-friendly</t>
  </si>
  <si>
    <t>Quincy L. Walker</t>
  </si>
  <si>
    <t>Sony Xperia 10 II</t>
  </si>
  <si>
    <t>Decent mid-range phone</t>
  </si>
  <si>
    <t>Olivia J. Martinez</t>
  </si>
  <si>
    <t>Summer Sale</t>
  </si>
  <si>
    <t>Motorola Razr</t>
  </si>
  <si>
    <t>01/14/2023</t>
  </si>
  <si>
    <t>Nostalgic design</t>
  </si>
  <si>
    <t>Betty P. Johnson</t>
  </si>
  <si>
    <t>Apple iPhone 12</t>
  </si>
  <si>
    <t>02/28/2023</t>
  </si>
  <si>
    <t>Fast and sleek</t>
  </si>
  <si>
    <t>Jason E. Young</t>
  </si>
  <si>
    <t>Fall Sale</t>
  </si>
  <si>
    <t>Lenovo Legion Duel</t>
  </si>
  <si>
    <t>Powerful and sleek</t>
  </si>
  <si>
    <t>Gina B. Walker</t>
  </si>
  <si>
    <t>Xiaomi Mi Mix 4</t>
  </si>
  <si>
    <t>Great display</t>
  </si>
  <si>
    <t>Samuel W. Baker</t>
  </si>
  <si>
    <t>Samsung Galaxy Note 20</t>
  </si>
  <si>
    <t>Great for productivity</t>
  </si>
  <si>
    <t>Matthew P. Thomas</t>
  </si>
  <si>
    <t>Apple iPhone 11 Pro</t>
  </si>
  <si>
    <t>Excellent camera</t>
  </si>
  <si>
    <t>Jessica L. Garcia</t>
  </si>
  <si>
    <t>Sony Xperia 5</t>
  </si>
  <si>
    <t>Great display and performance</t>
  </si>
  <si>
    <t>Aaron M. Lewis</t>
  </si>
  <si>
    <t>Good camera</t>
  </si>
  <si>
    <t>Howard C. Hall</t>
  </si>
  <si>
    <t>Samsung Galaxy S21</t>
  </si>
  <si>
    <t>01/18/2023</t>
  </si>
  <si>
    <t>Excellent screen quality</t>
  </si>
  <si>
    <t>Julie M. Taylor</t>
  </si>
  <si>
    <t>Huawei Mate 40</t>
  </si>
  <si>
    <t>01/27/2023</t>
  </si>
  <si>
    <t>Cynthia V. Martinez</t>
  </si>
  <si>
    <t>LG V60 ThinQ</t>
  </si>
  <si>
    <t>Great dual screen</t>
  </si>
  <si>
    <t>Steven J. Lee</t>
  </si>
  <si>
    <t>Realme 8 Pro</t>
  </si>
  <si>
    <t>02/15/2023</t>
  </si>
  <si>
    <t>Tina G. White</t>
  </si>
  <si>
    <t>Honor V40</t>
  </si>
  <si>
    <t>Strong performance</t>
  </si>
  <si>
    <t>Julia H. Lewis</t>
  </si>
  <si>
    <t>Xiaomi Mi Note 10</t>
  </si>
  <si>
    <t>03/18/2023</t>
  </si>
  <si>
    <t>Good value for the price</t>
  </si>
  <si>
    <t>Marcus J. Hall</t>
  </si>
  <si>
    <t>Apple iPhone 11</t>
  </si>
  <si>
    <t>02/18/2023</t>
  </si>
  <si>
    <t>Excellent performance</t>
  </si>
  <si>
    <t>Rachel M. Thompson</t>
  </si>
  <si>
    <t>Vivo V21</t>
  </si>
  <si>
    <t>03/29/2023</t>
  </si>
  <si>
    <t>Good value for money</t>
  </si>
  <si>
    <t>Angela X. Robinson</t>
  </si>
  <si>
    <t>OnePlus 8T</t>
  </si>
  <si>
    <t>Fast and smooth</t>
  </si>
  <si>
    <t>Richard T. Wright</t>
  </si>
  <si>
    <t>Washington</t>
  </si>
  <si>
    <t>Apple iPhone 13</t>
  </si>
  <si>
    <t>Patricia M. Clark</t>
  </si>
  <si>
    <t>Xiaomi Poco X3</t>
  </si>
  <si>
    <t>Great battery life</t>
  </si>
  <si>
    <t>Brian U. King</t>
  </si>
  <si>
    <t>OnePlus Nord N10</t>
  </si>
  <si>
    <t>02/21/2023</t>
  </si>
  <si>
    <t>Michelle H. Harris</t>
  </si>
  <si>
    <t>1. Text Extraction:</t>
  </si>
  <si>
    <t>2. Date and Time Formatting:</t>
  </si>
  <si>
    <t>Display the current date and time in the formats "MM/DD/YYYY" and "HH:MM</t>
  </si>
  <si>
    <t>" respectively.</t>
  </si>
  <si>
    <t>3. Sales Analysis:</t>
  </si>
  <si>
    <t>Calculate the total, average, minimum, and maximum sales amounts.</t>
  </si>
  <si>
    <t>Determine the number of products with a sales amount greater than $1000.</t>
  </si>
  <si>
    <t>Count the number of products with a rating of 5.</t>
  </si>
  <si>
    <t>4. Lookup:</t>
  </si>
  <si>
    <t>5. Categorization:</t>
  </si>
  <si>
    <t>Create a new column that categorizes products as "High Discount" if the discount is greater than 15% and "Low Discount" otherwise.</t>
  </si>
  <si>
    <t>6. Text Manipulation:</t>
  </si>
  <si>
    <t>Convert the product names to uppercase, lowercase, and proper case.</t>
  </si>
  <si>
    <t>7. Length and Replacement:</t>
  </si>
  <si>
    <t>Modify customer feedback to standardize phrases, such as replacing "Good" with "Excellent".</t>
  </si>
  <si>
    <t>8. Additional Tasks:</t>
  </si>
  <si>
    <r>
      <t xml:space="preserve">Extract the first and last name from the </t>
    </r>
    <r>
      <rPr>
        <sz val="10"/>
        <color theme="1"/>
        <rFont val="Arial Unicode MS"/>
      </rPr>
      <t>Supplier Name</t>
    </r>
    <r>
      <rPr>
        <sz val="11"/>
        <color theme="1"/>
        <rFont val="Calibri"/>
        <family val="2"/>
        <scheme val="minor"/>
      </rPr>
      <t xml:space="preserve"> column for the product with </t>
    </r>
    <r>
      <rPr>
        <sz val="10"/>
        <color theme="1"/>
        <rFont val="Arial Unicode MS"/>
      </rPr>
      <t>Product ID</t>
    </r>
    <r>
      <rPr>
        <sz val="11"/>
        <color theme="1"/>
        <rFont val="Calibri"/>
        <family val="2"/>
        <scheme val="minor"/>
      </rPr>
      <t xml:space="preserve"> "00000014".</t>
    </r>
  </si>
  <si>
    <r>
      <t xml:space="preserve">Find the sales amount for the product with </t>
    </r>
    <r>
      <rPr>
        <sz val="10"/>
        <color theme="1"/>
        <rFont val="Arial Unicode MS"/>
      </rPr>
      <t>Product ID</t>
    </r>
    <r>
      <rPr>
        <sz val="11"/>
        <color theme="1"/>
        <rFont val="Calibri"/>
        <family val="2"/>
        <scheme val="minor"/>
      </rPr>
      <t xml:space="preserve"> "00000018".</t>
    </r>
  </si>
  <si>
    <r>
      <t xml:space="preserve">Find the length of the product name for the product with </t>
    </r>
    <r>
      <rPr>
        <sz val="10"/>
        <color theme="1"/>
        <rFont val="Arial Unicode MS"/>
      </rPr>
      <t>Product ID</t>
    </r>
    <r>
      <rPr>
        <sz val="11"/>
        <color theme="1"/>
        <rFont val="Calibri"/>
        <family val="2"/>
        <scheme val="minor"/>
      </rPr>
      <t xml:space="preserve"> "00000025".</t>
    </r>
  </si>
  <si>
    <r>
      <t xml:space="preserve">Calculate the total sales for all products in the </t>
    </r>
    <r>
      <rPr>
        <sz val="10"/>
        <color theme="1"/>
        <rFont val="Arial Unicode MS"/>
      </rPr>
      <t>West</t>
    </r>
    <r>
      <rPr>
        <sz val="11"/>
        <color theme="1"/>
        <rFont val="Calibri"/>
        <family val="2"/>
        <scheme val="minor"/>
      </rPr>
      <t xml:space="preserve"> region.</t>
    </r>
  </si>
  <si>
    <r>
      <t xml:space="preserve">Format the sales date of the product with </t>
    </r>
    <r>
      <rPr>
        <sz val="10"/>
        <color theme="1"/>
        <rFont val="Arial Unicode MS"/>
      </rPr>
      <t>Product ID</t>
    </r>
    <r>
      <rPr>
        <sz val="11"/>
        <color theme="1"/>
        <rFont val="Calibri"/>
        <family val="2"/>
        <scheme val="minor"/>
      </rPr>
      <t xml:space="preserve"> "00000027" in "DD-MMM-YYYY" format.</t>
    </r>
  </si>
  <si>
    <t>Questions:</t>
  </si>
  <si>
    <t>00000001</t>
  </si>
  <si>
    <t>00000002</t>
  </si>
  <si>
    <t>00000003</t>
  </si>
  <si>
    <t>00000004</t>
  </si>
  <si>
    <t>00000005</t>
  </si>
  <si>
    <t>00000006</t>
  </si>
  <si>
    <t>00000007</t>
  </si>
  <si>
    <t>00000008</t>
  </si>
  <si>
    <t>00000009</t>
  </si>
  <si>
    <t>00000010</t>
  </si>
  <si>
    <t>00000011</t>
  </si>
  <si>
    <t>00000012</t>
  </si>
  <si>
    <t>00000013</t>
  </si>
  <si>
    <t>00000014</t>
  </si>
  <si>
    <t>00000015</t>
  </si>
  <si>
    <t>00000016</t>
  </si>
  <si>
    <t>00000017</t>
  </si>
  <si>
    <t>00000018</t>
  </si>
  <si>
    <t>00000019</t>
  </si>
  <si>
    <t>00000020</t>
  </si>
  <si>
    <t>00000021</t>
  </si>
  <si>
    <t>00000022</t>
  </si>
  <si>
    <t>00000023</t>
  </si>
  <si>
    <t>00000024</t>
  </si>
  <si>
    <t>00000025</t>
  </si>
  <si>
    <t>00000026</t>
  </si>
  <si>
    <t>00000027</t>
  </si>
  <si>
    <t>00000028</t>
  </si>
  <si>
    <t>00000029</t>
  </si>
  <si>
    <t>00000030</t>
  </si>
  <si>
    <t>00000031</t>
  </si>
  <si>
    <t>00000032</t>
  </si>
  <si>
    <t>00000033</t>
  </si>
  <si>
    <t>00000034</t>
  </si>
  <si>
    <t>00000035</t>
  </si>
  <si>
    <t>00000037</t>
  </si>
  <si>
    <t>00000038</t>
  </si>
  <si>
    <t>00000039</t>
  </si>
  <si>
    <t>00000040</t>
  </si>
  <si>
    <t>current day and time</t>
  </si>
  <si>
    <t>total</t>
  </si>
  <si>
    <t>min</t>
  </si>
  <si>
    <t>max</t>
  </si>
  <si>
    <t>no of products</t>
  </si>
  <si>
    <t>no of products, rating 5</t>
  </si>
  <si>
    <t>sales amount</t>
  </si>
  <si>
    <t>upper case(P)</t>
  </si>
  <si>
    <t>Proper case(P)</t>
  </si>
  <si>
    <t>Lower case(P)</t>
  </si>
  <si>
    <t>total sales in west region</t>
  </si>
  <si>
    <t>Ans 5</t>
  </si>
  <si>
    <t>Ans 6</t>
  </si>
  <si>
    <t>format mm/dd/yyyy</t>
  </si>
  <si>
    <t>product Id</t>
  </si>
  <si>
    <t>"00000025"</t>
  </si>
  <si>
    <t>"00000014"</t>
  </si>
  <si>
    <t>Here is the raw data in the Excel file:</t>
  </si>
  <si>
    <t>Patient_ID</t>
  </si>
  <si>
    <t>Patient_Name</t>
  </si>
  <si>
    <t>Patient_DOB</t>
  </si>
  <si>
    <t>Patient_Relative</t>
  </si>
  <si>
    <t>Doctor_ID</t>
  </si>
  <si>
    <t>Doctor_Name</t>
  </si>
  <si>
    <t>Doctor_DOB</t>
  </si>
  <si>
    <t>Issue</t>
  </si>
  <si>
    <t>Treatment_Price</t>
  </si>
  <si>
    <t>Admission_Date</t>
  </si>
  <si>
    <t>Treatment_Date</t>
  </si>
  <si>
    <t>Discharge_Date</t>
  </si>
  <si>
    <t>Payment_Status</t>
  </si>
  <si>
    <t>Room_Number</t>
  </si>
  <si>
    <t>Patient_Contact</t>
  </si>
  <si>
    <t>Relative_Contact</t>
  </si>
  <si>
    <t>Doctor_Contact</t>
  </si>
  <si>
    <t>Insurance_Provider</t>
  </si>
  <si>
    <t>Insurance_Claim_Status</t>
  </si>
  <si>
    <t>Additional_Notes</t>
  </si>
  <si>
    <t>John Doe</t>
  </si>
  <si>
    <t>D1</t>
  </si>
  <si>
    <t>Dr. Smith</t>
  </si>
  <si>
    <t>Flu</t>
  </si>
  <si>
    <t>Paid</t>
  </si>
  <si>
    <t>123-456-7890</t>
  </si>
  <si>
    <t>987-654-3210</t>
  </si>
  <si>
    <t>555-123-4567</t>
  </si>
  <si>
    <t>ABC Insurance</t>
  </si>
  <si>
    <t>Approved</t>
  </si>
  <si>
    <t>N/A</t>
  </si>
  <si>
    <t>Alice Smith</t>
  </si>
  <si>
    <t>Bob Smith</t>
  </si>
  <si>
    <t>D2</t>
  </si>
  <si>
    <t>Dr. Johnson</t>
  </si>
  <si>
    <t>Broken Arm</t>
  </si>
  <si>
    <t>Unpaid</t>
  </si>
  <si>
    <t>234-567-8901</t>
  </si>
  <si>
    <t>876-543-2109</t>
  </si>
  <si>
    <t>555-234-5678</t>
  </si>
  <si>
    <t>XYZ Insurance</t>
  </si>
  <si>
    <t>Follow-up needed</t>
  </si>
  <si>
    <t>Bob Brown</t>
  </si>
  <si>
    <t>Carol Brown</t>
  </si>
  <si>
    <t>D3</t>
  </si>
  <si>
    <t>Dr. Lee</t>
  </si>
  <si>
    <t>Pneumonia</t>
  </si>
  <si>
    <t>345-678-9012</t>
  </si>
  <si>
    <t>765-432-1098</t>
  </si>
  <si>
    <t>555-345-6789</t>
  </si>
  <si>
    <t>DEF Insurance</t>
  </si>
  <si>
    <t>Denied</t>
  </si>
  <si>
    <t>Special care required</t>
  </si>
  <si>
    <t>Eve White</t>
  </si>
  <si>
    <t>Dan White</t>
  </si>
  <si>
    <t>D4</t>
  </si>
  <si>
    <t>Dr. Kumar</t>
  </si>
  <si>
    <t>Heart Attack</t>
  </si>
  <si>
    <t>456-789-0123</t>
  </si>
  <si>
    <t>654-321-0987</t>
  </si>
  <si>
    <t>555-456-7890</t>
  </si>
  <si>
    <t>GHI Insurance</t>
  </si>
  <si>
    <t>Urgent care</t>
  </si>
  <si>
    <t>Carl Green</t>
  </si>
  <si>
    <t>Nancy Green</t>
  </si>
  <si>
    <t>D5</t>
  </si>
  <si>
    <t>Dr. Patel</t>
  </si>
  <si>
    <t>Kidney Stone</t>
  </si>
  <si>
    <t>567-890-1234</t>
  </si>
  <si>
    <t>543-210-9876</t>
  </si>
  <si>
    <t>555-567-8901</t>
  </si>
  <si>
    <t>JKL Insurance</t>
  </si>
  <si>
    <t>Surgery required</t>
  </si>
  <si>
    <t>Mike Blue</t>
  </si>
  <si>
    <t>Lily Blue</t>
  </si>
  <si>
    <t>D6</t>
  </si>
  <si>
    <t>Dr. Wong</t>
  </si>
  <si>
    <t>Diabetes</t>
  </si>
  <si>
    <t>678-901-2345</t>
  </si>
  <si>
    <t>432-109-8765</t>
  </si>
  <si>
    <t>555-678-9012</t>
  </si>
  <si>
    <t>MNO Insurance</t>
  </si>
  <si>
    <t>Emma Black</t>
  </si>
  <si>
    <t>Jack Black</t>
  </si>
  <si>
    <t>D7</t>
  </si>
  <si>
    <t>Dr. Taylor</t>
  </si>
  <si>
    <t>Hypertension</t>
  </si>
  <si>
    <t>789-012-3456</t>
  </si>
  <si>
    <t>321-098-7654</t>
  </si>
  <si>
    <t>555-789-0123</t>
  </si>
  <si>
    <t>PQR Insurance</t>
  </si>
  <si>
    <t>Regular monitoring needed</t>
  </si>
  <si>
    <t>David White</t>
  </si>
  <si>
    <t>Mia White</t>
  </si>
  <si>
    <t>D8</t>
  </si>
  <si>
    <t>Dr. Adams</t>
  </si>
  <si>
    <t>Asthma</t>
  </si>
  <si>
    <t>890-123-4567</t>
  </si>
  <si>
    <t>210-987-6543</t>
  </si>
  <si>
    <t>555-890-1234</t>
  </si>
  <si>
    <t>STU Insurance</t>
  </si>
  <si>
    <t>Inhaler prescription</t>
  </si>
  <si>
    <t>Lucas Brown</t>
  </si>
  <si>
    <t>Nora Brown</t>
  </si>
  <si>
    <t>D9</t>
  </si>
  <si>
    <t>Dr. Hernandez</t>
  </si>
  <si>
    <t>Appendicitis</t>
  </si>
  <si>
    <t>901-234-5678</t>
  </si>
  <si>
    <t>109-876-5432</t>
  </si>
  <si>
    <t>555-901-2345</t>
  </si>
  <si>
    <t>VWX Insurance</t>
  </si>
  <si>
    <t>Olivia Green</t>
  </si>
  <si>
    <t>Noah Green</t>
  </si>
  <si>
    <t>D10</t>
  </si>
  <si>
    <t>Dr. Martinez</t>
  </si>
  <si>
    <t>Migraine</t>
  </si>
  <si>
    <t>012-345-6789</t>
  </si>
  <si>
    <t>098-765-4321</t>
  </si>
  <si>
    <t>555-012-3456</t>
  </si>
  <si>
    <t>YZA Insurance</t>
  </si>
  <si>
    <t>Prescription medication needed</t>
  </si>
  <si>
    <t>Liam Blue</t>
  </si>
  <si>
    <t>Ava Blue</t>
  </si>
  <si>
    <t>D11</t>
  </si>
  <si>
    <t>Dr. Miller</t>
  </si>
  <si>
    <t>Fracture</t>
  </si>
  <si>
    <t>BCD Insurance</t>
  </si>
  <si>
    <t>Cast required</t>
  </si>
  <si>
    <t>Isabella Black</t>
  </si>
  <si>
    <t>Ethan Black</t>
  </si>
  <si>
    <t>D12</t>
  </si>
  <si>
    <t>Dr. Clark</t>
  </si>
  <si>
    <t>Skin Rash</t>
  </si>
  <si>
    <t>EFG Insurance</t>
  </si>
  <si>
    <t>Ointment prescription</t>
  </si>
  <si>
    <t>Ethan White</t>
  </si>
  <si>
    <t>Olivia White</t>
  </si>
  <si>
    <t>D13</t>
  </si>
  <si>
    <t>Dr. Nelson</t>
  </si>
  <si>
    <t>Allergies</t>
  </si>
  <si>
    <t>HIJ Insurance</t>
  </si>
  <si>
    <t>Allergy test required</t>
  </si>
  <si>
    <t>Amelia Brown</t>
  </si>
  <si>
    <t>James Brown</t>
  </si>
  <si>
    <t>D14</t>
  </si>
  <si>
    <t>Dr. Hall</t>
  </si>
  <si>
    <t>Bronchitis</t>
  </si>
  <si>
    <t>KLM Insurance</t>
  </si>
  <si>
    <t>Mia Green</t>
  </si>
  <si>
    <t>Lucas Green</t>
  </si>
  <si>
    <t>D15</t>
  </si>
  <si>
    <t>Dr. Allen</t>
  </si>
  <si>
    <t>High Fever</t>
  </si>
  <si>
    <t>NOP Insurance</t>
  </si>
  <si>
    <t>Rest and hydration required</t>
  </si>
  <si>
    <t>Noah Blue</t>
  </si>
  <si>
    <t>Emma Blue</t>
  </si>
  <si>
    <t>D16</t>
  </si>
  <si>
    <t>Dr. Young</t>
  </si>
  <si>
    <t>Headache</t>
  </si>
  <si>
    <t>QRS Insurance</t>
  </si>
  <si>
    <t>Aiden Black</t>
  </si>
  <si>
    <t>Charlotte Black</t>
  </si>
  <si>
    <t>D17</t>
  </si>
  <si>
    <t>Dr. King</t>
  </si>
  <si>
    <t>Infection</t>
  </si>
  <si>
    <t>TUV Insurance</t>
  </si>
  <si>
    <t>Antibiotics prescribed</t>
  </si>
  <si>
    <t>Ella White</t>
  </si>
  <si>
    <t>Henry White</t>
  </si>
  <si>
    <t>D18</t>
  </si>
  <si>
    <t>Dr. Scott</t>
  </si>
  <si>
    <t>WXY Insurance</t>
  </si>
  <si>
    <t>Jack Brown</t>
  </si>
  <si>
    <t>Isabella Brown</t>
  </si>
  <si>
    <t>D19</t>
  </si>
  <si>
    <t>Dr. Green</t>
  </si>
  <si>
    <t>High Blood Sugar</t>
  </si>
  <si>
    <t>Insulin required</t>
  </si>
  <si>
    <t>Charlotte Green</t>
  </si>
  <si>
    <t>Emily Green</t>
  </si>
  <si>
    <t>D20</t>
  </si>
  <si>
    <t>Dr. Harris</t>
  </si>
  <si>
    <t>Arthritis</t>
  </si>
  <si>
    <t>Pain relief medication</t>
  </si>
  <si>
    <t>Sophia Blue</t>
  </si>
  <si>
    <t>Benjamin Blue</t>
  </si>
  <si>
    <t>D21</t>
  </si>
  <si>
    <t>Dr. Lopez</t>
  </si>
  <si>
    <t>Jacob Black</t>
  </si>
  <si>
    <t>Evelyn Black</t>
  </si>
  <si>
    <t>D22</t>
  </si>
  <si>
    <t>Dr. Perez</t>
  </si>
  <si>
    <t>Broken Leg</t>
  </si>
  <si>
    <t>Emily White</t>
  </si>
  <si>
    <t>Alexander White</t>
  </si>
  <si>
    <t>D23</t>
  </si>
  <si>
    <t>Dr. Turner</t>
  </si>
  <si>
    <t>Sinus Infection</t>
  </si>
  <si>
    <t>Daniel Brown</t>
  </si>
  <si>
    <t>Grace Brown</t>
  </si>
  <si>
    <t>D24</t>
  </si>
  <si>
    <t>Dr. Edwards</t>
  </si>
  <si>
    <t>High Cholesterol</t>
  </si>
  <si>
    <t>Dietary changes required</t>
  </si>
  <si>
    <t>Grace Green</t>
  </si>
  <si>
    <t>Michael Green</t>
  </si>
  <si>
    <t>D25</t>
  </si>
  <si>
    <t>Dr. Collins</t>
  </si>
  <si>
    <t>Sprained Ankle</t>
  </si>
  <si>
    <t>Physical therapy recommended</t>
  </si>
  <si>
    <t>Olivia Blue</t>
  </si>
  <si>
    <t>Lucas Blue</t>
  </si>
  <si>
    <t>D26</t>
  </si>
  <si>
    <t>Dr. Morris</t>
  </si>
  <si>
    <t>James Black</t>
  </si>
  <si>
    <t>D27</t>
  </si>
  <si>
    <t>Dr. Bell</t>
  </si>
  <si>
    <t>D28</t>
  </si>
  <si>
    <t>Dr. Parker</t>
  </si>
  <si>
    <t>Mia Brown</t>
  </si>
  <si>
    <t>Charlotte Brown</t>
  </si>
  <si>
    <t>D29</t>
  </si>
  <si>
    <t>Dr. Carter</t>
  </si>
  <si>
    <t>D30</t>
  </si>
  <si>
    <t>Dr. Sanders</t>
  </si>
  <si>
    <t>High Blood Pressure</t>
  </si>
  <si>
    <t>Medication required</t>
  </si>
  <si>
    <t>D31</t>
  </si>
  <si>
    <t>Dr. Rogers</t>
  </si>
  <si>
    <t>Stomach Ache</t>
  </si>
  <si>
    <t>Liam Black</t>
  </si>
  <si>
    <t>D32</t>
  </si>
  <si>
    <t>Dr. Powell</t>
  </si>
  <si>
    <t>D33</t>
  </si>
  <si>
    <t>Dr. Watson</t>
  </si>
  <si>
    <t>D34</t>
  </si>
  <si>
    <t>Dr. Bailey</t>
  </si>
  <si>
    <t>D35</t>
  </si>
  <si>
    <t>Dr. Rivera</t>
  </si>
  <si>
    <t>D36</t>
  </si>
  <si>
    <t>Dr. Cooper</t>
  </si>
  <si>
    <t>D37</t>
  </si>
  <si>
    <t>Dr. Reed</t>
  </si>
  <si>
    <t>D38</t>
  </si>
  <si>
    <t>Dr. Morgan</t>
  </si>
  <si>
    <t>D39</t>
  </si>
  <si>
    <t>Dr. Cox</t>
  </si>
  <si>
    <t>D40</t>
  </si>
  <si>
    <t>Dr. Ward</t>
  </si>
  <si>
    <t>D41</t>
  </si>
  <si>
    <t>Dr. Brooks</t>
  </si>
  <si>
    <t>D42</t>
  </si>
  <si>
    <t>Dr. Barnes</t>
  </si>
  <si>
    <t>D43</t>
  </si>
  <si>
    <t>Dr. Ross</t>
  </si>
  <si>
    <t>D44</t>
  </si>
  <si>
    <t>Dr. Henderson</t>
  </si>
  <si>
    <t>D45</t>
  </si>
  <si>
    <t>Dr. Chen</t>
  </si>
  <si>
    <t>D46</t>
  </si>
  <si>
    <t>Dr. Murphy</t>
  </si>
  <si>
    <t>D47</t>
  </si>
  <si>
    <t>Dr. Simmons</t>
  </si>
  <si>
    <t>D48</t>
  </si>
  <si>
    <t>Dr. Foster</t>
  </si>
  <si>
    <t>D49</t>
  </si>
  <si>
    <t>Dr. Bryant</t>
  </si>
  <si>
    <t>D50</t>
  </si>
  <si>
    <t>D51</t>
  </si>
  <si>
    <t>Dr. Hayes</t>
  </si>
  <si>
    <t>D52</t>
  </si>
  <si>
    <t>Dr. Gordon</t>
  </si>
  <si>
    <t>D53</t>
  </si>
  <si>
    <t>Dr. Reynolds</t>
  </si>
  <si>
    <t>D54</t>
  </si>
  <si>
    <t>Dr. Lawson</t>
  </si>
  <si>
    <t>D55</t>
  </si>
  <si>
    <t>Dr. Cross</t>
  </si>
  <si>
    <t>D56</t>
  </si>
  <si>
    <t>Dr. Woods</t>
  </si>
  <si>
    <t>D57</t>
  </si>
  <si>
    <t>Dr. Grant</t>
  </si>
  <si>
    <t>D58</t>
  </si>
  <si>
    <t>Dr. Fisher</t>
  </si>
  <si>
    <t>D59</t>
  </si>
  <si>
    <t>Dr. Hansen</t>
  </si>
  <si>
    <t>D60</t>
  </si>
  <si>
    <t>Dr. Jenkins</t>
  </si>
  <si>
    <t>D61</t>
  </si>
  <si>
    <t>Dr. Kim</t>
  </si>
  <si>
    <t>D62</t>
  </si>
  <si>
    <t>D63</t>
  </si>
  <si>
    <t>Identify and correct the formatting inconsistencies in the "Treatment Date" and "Payment Status" columns.</t>
  </si>
  <si>
    <t>Standardize the phone number format across all entries.</t>
  </si>
  <si>
    <t>Remove any duplicate records in the dataset.</t>
  </si>
  <si>
    <t>Calculate the total revenue generated by paid treatments.</t>
  </si>
  <si>
    <t>Determine the average age of patients based on their date of birth.</t>
  </si>
  <si>
    <t>Identify the most common medical issue treated at the hospital.</t>
  </si>
  <si>
    <t>List all patients who have pending payments and the total amount they owe.</t>
  </si>
  <si>
    <t>Find the doctor who treated the most patients and list the number of patients treated.</t>
  </si>
  <si>
    <t>Generate a report of treatments categorized by their approval status (Approved, Pending, Denied).</t>
  </si>
  <si>
    <t>Analyze the correlation between patient age and the cost of treatment.</t>
  </si>
  <si>
    <t>Investigate if there is a pattern between certain doctors and the types of medical issues they treat.</t>
  </si>
  <si>
    <t>Examine the relationship between payment status and insurance provider.</t>
  </si>
  <si>
    <t>Predict the likelihood of payment status being "Paid" based on treatment cost and insurance provider.</t>
  </si>
  <si>
    <t>Estimate the expected revenue for the next month based on current trends.</t>
  </si>
  <si>
    <t>Forecast the frequency of each medical issue for the upcoming quarter.</t>
  </si>
  <si>
    <t>Compare the average cost of treatment between different insurance providers.</t>
  </si>
  <si>
    <t>Identify any significant differences in treatment costs for patients of different age groups.</t>
  </si>
  <si>
    <t>Evaluate the effectiveness of different treatments by comparing recovery times.</t>
  </si>
  <si>
    <t>Identify which columns have missing data and propose methods to handle these missing values.</t>
  </si>
  <si>
    <t>Detect and analyze outliers in the treatment cost column. Suggest possible reasons for these outliers.</t>
  </si>
  <si>
    <t>Calculate the frequency distribution of medical issues and analyze the patterns.</t>
  </si>
  <si>
    <t>If a policy change increased the treatment cost by 10%, analyze the impact on total revenue.</t>
  </si>
  <si>
    <t>Conduct a what-if analysis to see the effect of a 15% discount on all unpaid treatments.</t>
  </si>
  <si>
    <t>Data Cleaning and Formatting</t>
  </si>
  <si>
    <t>Data Analysis</t>
  </si>
  <si>
    <t>Advanced Queries</t>
  </si>
  <si>
    <t>Data Correlation</t>
  </si>
  <si>
    <t>Predictive Analysis</t>
  </si>
  <si>
    <t>Comparative Analysis</t>
  </si>
  <si>
    <t>Raw Data Exploration</t>
  </si>
  <si>
    <t>Exploring Missing Data:</t>
  </si>
  <si>
    <t>Outlier Detection:</t>
  </si>
  <si>
    <t>Frequency Distribution:</t>
  </si>
  <si>
    <t>Scenarios</t>
  </si>
  <si>
    <t>Scenario Analysis:</t>
  </si>
  <si>
    <t>What-If Analysis:</t>
  </si>
  <si>
    <t>Simulate the scenario where the number of doctors is increased by 10%.</t>
  </si>
  <si>
    <t xml:space="preserve">You are given an Excel file containing raw and unfiltered hospital data. The dataset includes various details about patients, doctors, treatments, and related information. </t>
  </si>
  <si>
    <t>Your task is to clean, organize, and analyze the data to extract meaningful insights. Specifically, you need to:</t>
  </si>
  <si>
    <t>no duplicate</t>
  </si>
  <si>
    <t>Answers</t>
  </si>
  <si>
    <t>2-A</t>
  </si>
  <si>
    <t>2-b</t>
  </si>
  <si>
    <t>2-c</t>
  </si>
  <si>
    <t>3-A</t>
  </si>
  <si>
    <t>3-B</t>
  </si>
  <si>
    <t>3-c</t>
  </si>
  <si>
    <t>1-A</t>
  </si>
  <si>
    <t>1-B</t>
  </si>
  <si>
    <t>1-C</t>
  </si>
  <si>
    <t>correlation (Age/Cost)</t>
  </si>
  <si>
    <t>Data cleaning</t>
  </si>
  <si>
    <t>Data analysis</t>
  </si>
  <si>
    <t>Standardize contact</t>
  </si>
  <si>
    <t>TEXT(VALUE(SUBSTITUTE(R154, "-", "")), "(000) 000-0000")</t>
  </si>
  <si>
    <t>advanced queries</t>
  </si>
  <si>
    <t>Count of Patient_ID</t>
  </si>
  <si>
    <t>4-A</t>
  </si>
  <si>
    <t>4-B</t>
  </si>
  <si>
    <t>4-c</t>
  </si>
  <si>
    <t>5-A</t>
  </si>
  <si>
    <t>5-B</t>
  </si>
  <si>
    <t>5-F</t>
  </si>
  <si>
    <t>5-E</t>
  </si>
  <si>
    <t>5-D</t>
  </si>
  <si>
    <t>5-C</t>
  </si>
  <si>
    <t>=</t>
  </si>
  <si>
    <t>status</t>
  </si>
  <si>
    <t>count</t>
  </si>
  <si>
    <t>percentage</t>
  </si>
  <si>
    <t>REPORT</t>
  </si>
  <si>
    <t>by using find/replace FN</t>
  </si>
  <si>
    <t>cell location X153</t>
  </si>
  <si>
    <t>Patten with doctor and medical issue</t>
  </si>
  <si>
    <t>cell location AA</t>
  </si>
  <si>
    <t>Pred/ comp Analysis</t>
  </si>
  <si>
    <t>Scenarios Analysis</t>
  </si>
  <si>
    <t>6-A</t>
  </si>
  <si>
    <t>change in revenue</t>
  </si>
  <si>
    <t>Total revenue</t>
  </si>
  <si>
    <t>change in percentage</t>
  </si>
  <si>
    <t>Report</t>
  </si>
  <si>
    <t>6-B</t>
  </si>
  <si>
    <t>Revenue(unpaid)</t>
  </si>
  <si>
    <t>Total Revenue</t>
  </si>
  <si>
    <t>Revenue(Paid)</t>
  </si>
  <si>
    <t>unpaid (discount 15%)</t>
  </si>
  <si>
    <t>change in Revenue</t>
  </si>
  <si>
    <t>(decline)</t>
  </si>
  <si>
    <t>Data correlation</t>
  </si>
  <si>
    <t>POWER QUERY</t>
  </si>
  <si>
    <t>Email</t>
  </si>
  <si>
    <t>Course</t>
  </si>
  <si>
    <t>Registration Date</t>
  </si>
  <si>
    <t>Fee Paid</t>
  </si>
  <si>
    <t>Name ID</t>
  </si>
  <si>
    <t>Session Start</t>
  </si>
  <si>
    <t>Payment Status</t>
  </si>
  <si>
    <t>Hailey Antcliff</t>
  </si>
  <si>
    <t>Hailey_Antcliff9757@yahoo.audio</t>
  </si>
  <si>
    <t>Leadership</t>
  </si>
  <si>
    <t>HaileyA</t>
  </si>
  <si>
    <t>Full Payment</t>
  </si>
  <si>
    <t>Harvey Reyes</t>
  </si>
  <si>
    <t>Harvey_Reyes9354@voylg.directory</t>
  </si>
  <si>
    <t>Analytics</t>
  </si>
  <si>
    <t>HarveyR</t>
  </si>
  <si>
    <t>Carina Stubbs</t>
  </si>
  <si>
    <t>Carina_Stubbs8509@jh02o.org</t>
  </si>
  <si>
    <t>Accounting</t>
  </si>
  <si>
    <t>CarinaS</t>
  </si>
  <si>
    <t>Ramon Redden</t>
  </si>
  <si>
    <t>Ramon_Redden905@1kmd3.club</t>
  </si>
  <si>
    <t>Design and technology</t>
  </si>
  <si>
    <t>RamonR</t>
  </si>
  <si>
    <t>Matt Ashley</t>
  </si>
  <si>
    <t>Matt_Ashley6946@jh02o.info</t>
  </si>
  <si>
    <t>MattA</t>
  </si>
  <si>
    <t>Half Payment</t>
  </si>
  <si>
    <t>Ronald Newton</t>
  </si>
  <si>
    <t>Ronald_Newton1403@1kmd3.com</t>
  </si>
  <si>
    <t>RonaldN</t>
  </si>
  <si>
    <t>Jack Hobbs</t>
  </si>
  <si>
    <t>Jack_Hobbs4073@evyvh.auction</t>
  </si>
  <si>
    <t>JackH</t>
  </si>
  <si>
    <t>Elena Shelton</t>
  </si>
  <si>
    <t>Elena_Shelton5238@karnv.org</t>
  </si>
  <si>
    <t>ElenaS</t>
  </si>
  <si>
    <t>Tom Alldridge</t>
  </si>
  <si>
    <t>Tom_Alldridge5905@gkvds.property</t>
  </si>
  <si>
    <t>TomA</t>
  </si>
  <si>
    <t>Henry Edmonds</t>
  </si>
  <si>
    <t>Henry_Edmonds4807@dbxli.store</t>
  </si>
  <si>
    <t>HenryE</t>
  </si>
  <si>
    <t>Jack Hudson</t>
  </si>
  <si>
    <t>Jack_Hudson8090@yafr7.audio</t>
  </si>
  <si>
    <t>Hadley Brown</t>
  </si>
  <si>
    <t>Hadley_Brown7577@xqj6f.business</t>
  </si>
  <si>
    <t>HadleyB</t>
  </si>
  <si>
    <t>Carrie Simpson</t>
  </si>
  <si>
    <t>Carrie_Simpson7773@qu9ml.catering</t>
  </si>
  <si>
    <t>CarrieS</t>
  </si>
  <si>
    <t>Harvey Bell</t>
  </si>
  <si>
    <t>Harvey_Bell7932@bu2lo.website</t>
  </si>
  <si>
    <t>HarveyB</t>
  </si>
  <si>
    <t>Barney Morris</t>
  </si>
  <si>
    <t>Barney_Morris5647@hepmv.autos</t>
  </si>
  <si>
    <t>BarneyM</t>
  </si>
  <si>
    <t>Caydence Fisher</t>
  </si>
  <si>
    <t>Caydence_Fisher2480@bcfhs.store</t>
  </si>
  <si>
    <t>CaydenceF</t>
  </si>
  <si>
    <t>Denny Bell</t>
  </si>
  <si>
    <t>Denny_Bell8404@cke3u.property</t>
  </si>
  <si>
    <t>DennyB</t>
  </si>
  <si>
    <t>Nicole Norton</t>
  </si>
  <si>
    <t>Nicole_Norton7231@avn7d.zone</t>
  </si>
  <si>
    <t>NicoleN</t>
  </si>
  <si>
    <t>Daria Little</t>
  </si>
  <si>
    <t>Daria_Little6096@3wbkp.app</t>
  </si>
  <si>
    <t>DariaL</t>
  </si>
  <si>
    <t>Lindsay Taylor</t>
  </si>
  <si>
    <t>Lindsay_Taylor7452@kyb7t.com</t>
  </si>
  <si>
    <t>LindsayT</t>
  </si>
  <si>
    <t>Mason Davies</t>
  </si>
  <si>
    <t>Mason_Davies1960@kyb7t.software</t>
  </si>
  <si>
    <t>MasonD</t>
  </si>
  <si>
    <t>Phoebe Morrison</t>
  </si>
  <si>
    <t>Phoebe_Morrison8611@xtwt3.store</t>
  </si>
  <si>
    <t>PhoebeM</t>
  </si>
  <si>
    <t>Nate Thornton</t>
  </si>
  <si>
    <t>Nate_Thornton707@iaart.us</t>
  </si>
  <si>
    <t>NateT</t>
  </si>
  <si>
    <t>Hayden Nanton</t>
  </si>
  <si>
    <t>Hayden_Nanton4520@yafr7.solutions</t>
  </si>
  <si>
    <t>HaydenN</t>
  </si>
  <si>
    <t>Evie Robe</t>
  </si>
  <si>
    <t>Evie_Robe9866@yahoo.mobi</t>
  </si>
  <si>
    <t>EvieR</t>
  </si>
  <si>
    <t>Mike Hunter</t>
  </si>
  <si>
    <t>Mike_Hunter6868@gkvds.digital</t>
  </si>
  <si>
    <t>MikeH</t>
  </si>
  <si>
    <t>Marilyn Jackson</t>
  </si>
  <si>
    <t>Marilyn_Jackson8632@gnjps.media</t>
  </si>
  <si>
    <t>MarilynJ</t>
  </si>
  <si>
    <t>Sloane Snell</t>
  </si>
  <si>
    <t>Sloane_Snell336@yahoo.page</t>
  </si>
  <si>
    <t>SloaneS</t>
  </si>
  <si>
    <t>Alessia Mcneill</t>
  </si>
  <si>
    <t>Alessia_Mcneill3403@bcfhs.services</t>
  </si>
  <si>
    <t>AlessiaM</t>
  </si>
  <si>
    <t>Mavis Wills</t>
  </si>
  <si>
    <t>Mavis_Wills7512@ohqqh.autos</t>
  </si>
  <si>
    <t>MavisW</t>
  </si>
  <si>
    <t>Adelaide Hogg</t>
  </si>
  <si>
    <t>Adelaide_Hogg7997@xqj6f.site</t>
  </si>
  <si>
    <t>AdelaideH</t>
  </si>
  <si>
    <t>Emmanuelle Gonzales</t>
  </si>
  <si>
    <t>Emmanuelle_Gonzales7516@ds59r.solutions</t>
  </si>
  <si>
    <t>EmmanuelleG</t>
  </si>
  <si>
    <t>Alessia Lloyd</t>
  </si>
  <si>
    <t>Alessia_Lloyd1527@xqj6f.info</t>
  </si>
  <si>
    <t>AlessiaL</t>
  </si>
  <si>
    <t>Matthew Patel</t>
  </si>
  <si>
    <t>Matthew_Patel8052@crzq7.com</t>
  </si>
  <si>
    <t>MatthewP</t>
  </si>
  <si>
    <t>Luke Lyon</t>
  </si>
  <si>
    <t>Luke_Lyon3797@lyvnc.pro</t>
  </si>
  <si>
    <t>LukeL</t>
  </si>
  <si>
    <t>Alan Shea</t>
  </si>
  <si>
    <t>Alan_Shea1327@yafr7.meet</t>
  </si>
  <si>
    <t>AlanS</t>
  </si>
  <si>
    <t>Chad Atkinson</t>
  </si>
  <si>
    <t>Chad_Atkinson1184@zynuu.services</t>
  </si>
  <si>
    <t>ChadA</t>
  </si>
  <si>
    <t>Jack Campbell</t>
  </si>
  <si>
    <t>Jack_Campbell8746@ds59r.website</t>
  </si>
  <si>
    <t>JackC</t>
  </si>
  <si>
    <t>Hannah Dunbar</t>
  </si>
  <si>
    <t>Hannah_Dunbar3125@avn7d.shop</t>
  </si>
  <si>
    <t>HannahD</t>
  </si>
  <si>
    <t>Julian Gregory</t>
  </si>
  <si>
    <t>Julian_Gregory6304@gnjps.meet</t>
  </si>
  <si>
    <t>JulianG</t>
  </si>
  <si>
    <t>Bethany Wellington</t>
  </si>
  <si>
    <t>Bethany_Wellington4382@voylg.pro</t>
  </si>
  <si>
    <t>BethanyW</t>
  </si>
  <si>
    <t>Alan Brown</t>
  </si>
  <si>
    <t>Alan_Brown2843@lhp4j.video</t>
  </si>
  <si>
    <t>AlanB</t>
  </si>
  <si>
    <t>Jolene Wright</t>
  </si>
  <si>
    <t>Jolene_Wright796@voylg.directory</t>
  </si>
  <si>
    <t>JoleneW</t>
  </si>
  <si>
    <t>Daniel Palmer</t>
  </si>
  <si>
    <t>Daniel_Palmer9331@nanoff.website</t>
  </si>
  <si>
    <t>DanielP</t>
  </si>
  <si>
    <t>Javier Spencer</t>
  </si>
  <si>
    <t>Javier_Spencer5051@gnjps.name</t>
  </si>
  <si>
    <t>JavierS</t>
  </si>
  <si>
    <t>Ramon Nurton</t>
  </si>
  <si>
    <t>Ramon_Nurton1427@ckzyi.tech</t>
  </si>
  <si>
    <t>RamonN</t>
  </si>
  <si>
    <t>Parker Wood</t>
  </si>
  <si>
    <t>Parker_Wood3080@evyvh.catering</t>
  </si>
  <si>
    <t>ParkerW</t>
  </si>
  <si>
    <t>Owen Walton</t>
  </si>
  <si>
    <t>Owen_Walton2410@yafr7.biz</t>
  </si>
  <si>
    <t>OwenW</t>
  </si>
  <si>
    <t>Melody Attwood</t>
  </si>
  <si>
    <t>Melody_Attwood1512@bcfhs.property</t>
  </si>
  <si>
    <t>MelodyA</t>
  </si>
  <si>
    <t>William Hobbs</t>
  </si>
  <si>
    <t>William_Hobbs5006@lhp4j.catering</t>
  </si>
  <si>
    <t>WilliamH</t>
  </si>
  <si>
    <t>Analise Sheldon</t>
  </si>
  <si>
    <t>Analise_Sheldon7133@nanoff.design</t>
  </si>
  <si>
    <t>AnaliseS</t>
  </si>
  <si>
    <t>Emerald Talbot</t>
  </si>
  <si>
    <t>Emerald_Talbot5897@dvqq2.site</t>
  </si>
  <si>
    <t>EmeraldT</t>
  </si>
  <si>
    <t>Chuck Alexander</t>
  </si>
  <si>
    <t>Chuck_Alexander6114@fhuux.edu</t>
  </si>
  <si>
    <t>ChuckA</t>
  </si>
  <si>
    <t>Peter Baker</t>
  </si>
  <si>
    <t>Peter_Baker1225@yafr7.directory</t>
  </si>
  <si>
    <t>PeterB</t>
  </si>
  <si>
    <t>Rita Rowlands</t>
  </si>
  <si>
    <t>Rita_Rowlands762@lyvnc.services</t>
  </si>
  <si>
    <t>RitaR</t>
  </si>
  <si>
    <t>Benny Flynn</t>
  </si>
  <si>
    <t>Benny_Flynn3566@qu9ml.meet</t>
  </si>
  <si>
    <t>BennyF</t>
  </si>
  <si>
    <t>Mark Cann</t>
  </si>
  <si>
    <t>Mark_Cann7055@kyb7t.edu</t>
  </si>
  <si>
    <t>MarkC</t>
  </si>
  <si>
    <t>Fred Ring</t>
  </si>
  <si>
    <t>Fred_Ring8266@yfxpw.shop</t>
  </si>
  <si>
    <t>FredR</t>
  </si>
  <si>
    <t>Nicholas Durrant</t>
  </si>
  <si>
    <t>Nicholas_Durrant3119@gkvds.club</t>
  </si>
  <si>
    <t>NicholasD</t>
  </si>
  <si>
    <t>Alan Walsh</t>
  </si>
  <si>
    <t>Alan_Walsh8108@zynuu.name</t>
  </si>
  <si>
    <t>AlanW</t>
  </si>
  <si>
    <t>Sabrina Logan</t>
  </si>
  <si>
    <t>Sabrina_Logan506@6ijur.audio</t>
  </si>
  <si>
    <t>SabrinaL</t>
  </si>
  <si>
    <t>Maddison Carter</t>
  </si>
  <si>
    <t>Maddison_Carter4255@bu2lo.website</t>
  </si>
  <si>
    <t>MaddisonC</t>
  </si>
  <si>
    <t xml:space="preserve">Ronald_Newton1403@1kmd3.com </t>
  </si>
  <si>
    <t xml:space="preserve">Jack_Hobbs4073@evyvh.auction </t>
  </si>
  <si>
    <t xml:space="preserve">Elena_Shelton5238@karnv.org </t>
  </si>
  <si>
    <t>I transform this data usiing power query</t>
  </si>
  <si>
    <t xml:space="preserve">data - new Query - select data from it </t>
  </si>
  <si>
    <t>Sample Dataset</t>
  </si>
  <si>
    <t>Customer Name</t>
  </si>
  <si>
    <t>Flight No</t>
  </si>
  <si>
    <t>Travel Date</t>
  </si>
  <si>
    <t>Destination</t>
  </si>
  <si>
    <t>Booking ID</t>
  </si>
  <si>
    <t>Class</t>
  </si>
  <si>
    <t>Duration</t>
  </si>
  <si>
    <t>AA1234</t>
  </si>
  <si>
    <t>B12345</t>
  </si>
  <si>
    <t>12A</t>
  </si>
  <si>
    <t>Economy</t>
  </si>
  <si>
    <t>6h 30m</t>
  </si>
  <si>
    <t>Confirmed</t>
  </si>
  <si>
    <t>Jane Smith</t>
  </si>
  <si>
    <t>BA5678</t>
  </si>
  <si>
    <t>London</t>
  </si>
  <si>
    <t>B67890</t>
  </si>
  <si>
    <t>8B</t>
  </si>
  <si>
    <t>Business</t>
  </si>
  <si>
    <t>7h 45m</t>
  </si>
  <si>
    <t>Emily Johnson</t>
  </si>
  <si>
    <t>UA9101</t>
  </si>
  <si>
    <t>Paris</t>
  </si>
  <si>
    <t>B23456</t>
  </si>
  <si>
    <t>5C</t>
  </si>
  <si>
    <t>First</t>
  </si>
  <si>
    <t>8h 20m</t>
  </si>
  <si>
    <t>Cancelled</t>
  </si>
  <si>
    <t>Michael Brown</t>
  </si>
  <si>
    <t>DL1122</t>
  </si>
  <si>
    <t>Tokyo</t>
  </si>
  <si>
    <t>B34567</t>
  </si>
  <si>
    <t>22D</t>
  </si>
  <si>
    <t>10h 15m</t>
  </si>
  <si>
    <t>Sarah Davis</t>
  </si>
  <si>
    <t>SW3434</t>
  </si>
  <si>
    <t>Sydney</t>
  </si>
  <si>
    <t>B45678</t>
  </si>
  <si>
    <t>1A</t>
  </si>
  <si>
    <t>9h 5m</t>
  </si>
  <si>
    <t>Lisa White</t>
  </si>
  <si>
    <t>AA5678</t>
  </si>
  <si>
    <t>B56789</t>
  </si>
  <si>
    <t>14B</t>
  </si>
  <si>
    <t>3h 50m</t>
  </si>
  <si>
    <t>Tom Wilson</t>
  </si>
  <si>
    <t>BA9102</t>
  </si>
  <si>
    <t>Berlin</t>
  </si>
  <si>
    <t>B67891</t>
  </si>
  <si>
    <t>21C</t>
  </si>
  <si>
    <t>8h 50m</t>
  </si>
  <si>
    <t>Alice Green</t>
  </si>
  <si>
    <t>UA2345</t>
  </si>
  <si>
    <t>Toronto</t>
  </si>
  <si>
    <t>B78901</t>
  </si>
  <si>
    <t>16D</t>
  </si>
  <si>
    <t>4h 15m</t>
  </si>
  <si>
    <t>Robert Lee</t>
  </si>
  <si>
    <t>DL3456</t>
  </si>
  <si>
    <t>Rome</t>
  </si>
  <si>
    <t>B89012</t>
  </si>
  <si>
    <t>18A</t>
  </si>
  <si>
    <t>7h 0m</t>
  </si>
  <si>
    <t>Carol Martinez</t>
  </si>
  <si>
    <t>SW4567</t>
  </si>
  <si>
    <t>Dubai</t>
  </si>
  <si>
    <t>B90123</t>
  </si>
  <si>
    <t>9B</t>
  </si>
  <si>
    <t>8h 30m</t>
  </si>
  <si>
    <t>Questions</t>
  </si>
  <si>
    <r>
      <t>1. LEFT</t>
    </r>
    <r>
      <rPr>
        <sz val="11"/>
        <color theme="1"/>
        <rFont val="Calibri"/>
        <family val="2"/>
        <scheme val="minor"/>
      </rPr>
      <t xml:space="preserve">: How can you extract the first 2 characters of the </t>
    </r>
    <r>
      <rPr>
        <b/>
        <sz val="11"/>
        <color theme="1"/>
        <rFont val="Calibri"/>
        <family val="2"/>
        <scheme val="minor"/>
      </rPr>
      <t>Flight No</t>
    </r>
    <r>
      <rPr>
        <sz val="11"/>
        <color theme="1"/>
        <rFont val="Calibri"/>
        <family val="2"/>
        <scheme val="minor"/>
      </rPr>
      <t xml:space="preserve"> to get the airline code?</t>
    </r>
  </si>
  <si>
    <r>
      <t>2. RIGHT</t>
    </r>
    <r>
      <rPr>
        <sz val="11"/>
        <color theme="1"/>
        <rFont val="Calibri"/>
        <family val="2"/>
        <scheme val="minor"/>
      </rPr>
      <t xml:space="preserve">: How can you extract the last 4 characters from the </t>
    </r>
    <r>
      <rPr>
        <b/>
        <sz val="11"/>
        <color theme="1"/>
        <rFont val="Calibri"/>
        <family val="2"/>
        <scheme val="minor"/>
      </rPr>
      <t>Booking ID</t>
    </r>
    <r>
      <rPr>
        <sz val="11"/>
        <color theme="1"/>
        <rFont val="Calibri"/>
        <family val="2"/>
        <scheme val="minor"/>
      </rPr>
      <t>?</t>
    </r>
  </si>
  <si>
    <r>
      <t>3. MID</t>
    </r>
    <r>
      <rPr>
        <sz val="11"/>
        <color theme="1"/>
        <rFont val="Calibri"/>
        <family val="2"/>
        <scheme val="minor"/>
      </rPr>
      <t xml:space="preserve">: How can you extract the 3rd to 6th characters from the </t>
    </r>
    <r>
      <rPr>
        <b/>
        <sz val="11"/>
        <color theme="1"/>
        <rFont val="Calibri"/>
        <family val="2"/>
        <scheme val="minor"/>
      </rPr>
      <t>Flight No</t>
    </r>
    <r>
      <rPr>
        <sz val="11"/>
        <color theme="1"/>
        <rFont val="Calibri"/>
        <family val="2"/>
        <scheme val="minor"/>
      </rPr>
      <t>?</t>
    </r>
  </si>
  <si>
    <r>
      <t>4. FIND</t>
    </r>
    <r>
      <rPr>
        <sz val="11"/>
        <color theme="1"/>
        <rFont val="Calibri"/>
        <family val="2"/>
        <scheme val="minor"/>
      </rPr>
      <t xml:space="preserve">: How can you find the position of "Tokyo" in the </t>
    </r>
    <r>
      <rPr>
        <b/>
        <sz val="11"/>
        <color theme="1"/>
        <rFont val="Calibri"/>
        <family val="2"/>
        <scheme val="minor"/>
      </rPr>
      <t>Destination</t>
    </r>
    <r>
      <rPr>
        <sz val="11"/>
        <color theme="1"/>
        <rFont val="Calibri"/>
        <family val="2"/>
        <scheme val="minor"/>
      </rPr>
      <t xml:space="preserve"> column?</t>
    </r>
  </si>
  <si>
    <r>
      <t>5. SEARCH</t>
    </r>
    <r>
      <rPr>
        <sz val="11"/>
        <color theme="1"/>
        <rFont val="Calibri"/>
        <family val="2"/>
        <scheme val="minor"/>
      </rPr>
      <t xml:space="preserve">: How can you search for "sydney" in the </t>
    </r>
    <r>
      <rPr>
        <b/>
        <sz val="11"/>
        <color theme="1"/>
        <rFont val="Calibri"/>
        <family val="2"/>
        <scheme val="minor"/>
      </rPr>
      <t>Destination</t>
    </r>
    <r>
      <rPr>
        <sz val="11"/>
        <color theme="1"/>
        <rFont val="Calibri"/>
        <family val="2"/>
        <scheme val="minor"/>
      </rPr>
      <t xml:space="preserve"> column and make the search case-insensitive?</t>
    </r>
  </si>
  <si>
    <r>
      <t>6. TODAY</t>
    </r>
    <r>
      <rPr>
        <sz val="11"/>
        <color theme="1"/>
        <rFont val="Calibri"/>
        <family val="2"/>
        <scheme val="minor"/>
      </rPr>
      <t xml:space="preserve">: How can you calculate the number of days from today's date to the </t>
    </r>
    <r>
      <rPr>
        <b/>
        <sz val="11"/>
        <color theme="1"/>
        <rFont val="Calibri"/>
        <family val="2"/>
        <scheme val="minor"/>
      </rPr>
      <t>Travel Date</t>
    </r>
    <r>
      <rPr>
        <sz val="11"/>
        <color theme="1"/>
        <rFont val="Calibri"/>
        <family val="2"/>
        <scheme val="minor"/>
      </rPr>
      <t>?</t>
    </r>
  </si>
  <si>
    <r>
      <t>7. NOW</t>
    </r>
    <r>
      <rPr>
        <sz val="11"/>
        <color theme="1"/>
        <rFont val="Calibri"/>
        <family val="2"/>
        <scheme val="minor"/>
      </rPr>
      <t>: How can you show the current date and time in a cell?</t>
    </r>
  </si>
  <si>
    <r>
      <t>8. CONCATENATE</t>
    </r>
    <r>
      <rPr>
        <sz val="11"/>
        <color theme="1"/>
        <rFont val="Calibri"/>
        <family val="2"/>
        <scheme val="minor"/>
      </rPr>
      <t xml:space="preserve">: How can you combine </t>
    </r>
    <r>
      <rPr>
        <b/>
        <sz val="11"/>
        <color theme="1"/>
        <rFont val="Calibri"/>
        <family val="2"/>
        <scheme val="minor"/>
      </rPr>
      <t>Customer Name</t>
    </r>
    <r>
      <rPr>
        <sz val="11"/>
        <color theme="1"/>
        <rFont val="Calibri"/>
        <family val="2"/>
        <scheme val="minor"/>
      </rPr>
      <t xml:space="preserve"> and </t>
    </r>
    <r>
      <rPr>
        <b/>
        <sz val="11"/>
        <color theme="1"/>
        <rFont val="Calibri"/>
        <family val="2"/>
        <scheme val="minor"/>
      </rPr>
      <t>Flight No</t>
    </r>
    <r>
      <rPr>
        <sz val="11"/>
        <color theme="1"/>
        <rFont val="Calibri"/>
        <family val="2"/>
        <scheme val="minor"/>
      </rPr>
      <t xml:space="preserve"> into a single cell?</t>
    </r>
  </si>
  <si>
    <r>
      <t>9. FORMULATEXT</t>
    </r>
    <r>
      <rPr>
        <sz val="11"/>
        <color theme="1"/>
        <rFont val="Calibri"/>
        <family val="2"/>
        <scheme val="minor"/>
      </rPr>
      <t>: How can you display the formula used in a specific cell?</t>
    </r>
  </si>
  <si>
    <r>
      <t>10. UPPER</t>
    </r>
    <r>
      <rPr>
        <sz val="11"/>
        <color theme="1"/>
        <rFont val="Calibri"/>
        <family val="2"/>
        <scheme val="minor"/>
      </rPr>
      <t xml:space="preserve">: How can you convert the </t>
    </r>
    <r>
      <rPr>
        <b/>
        <sz val="11"/>
        <color theme="1"/>
        <rFont val="Calibri"/>
        <family val="2"/>
        <scheme val="minor"/>
      </rPr>
      <t>Destination</t>
    </r>
    <r>
      <rPr>
        <sz val="11"/>
        <color theme="1"/>
        <rFont val="Calibri"/>
        <family val="2"/>
        <scheme val="minor"/>
      </rPr>
      <t xml:space="preserve"> to uppercase?</t>
    </r>
  </si>
  <si>
    <r>
      <t>11. LOWER</t>
    </r>
    <r>
      <rPr>
        <sz val="11"/>
        <color theme="1"/>
        <rFont val="Calibri"/>
        <family val="2"/>
        <scheme val="minor"/>
      </rPr>
      <t xml:space="preserve">: How can you convert the </t>
    </r>
    <r>
      <rPr>
        <b/>
        <sz val="11"/>
        <color theme="1"/>
        <rFont val="Calibri"/>
        <family val="2"/>
        <scheme val="minor"/>
      </rPr>
      <t>Destination</t>
    </r>
    <r>
      <rPr>
        <sz val="11"/>
        <color theme="1"/>
        <rFont val="Calibri"/>
        <family val="2"/>
        <scheme val="minor"/>
      </rPr>
      <t xml:space="preserve"> to lowercase?</t>
    </r>
  </si>
  <si>
    <r>
      <t>12. PROPER</t>
    </r>
    <r>
      <rPr>
        <sz val="11"/>
        <color theme="1"/>
        <rFont val="Calibri"/>
        <family val="2"/>
        <scheme val="minor"/>
      </rPr>
      <t xml:space="preserve">: How can you capitalize each word in the </t>
    </r>
    <r>
      <rPr>
        <b/>
        <sz val="11"/>
        <color theme="1"/>
        <rFont val="Calibri"/>
        <family val="2"/>
        <scheme val="minor"/>
      </rPr>
      <t>Destination</t>
    </r>
    <r>
      <rPr>
        <sz val="11"/>
        <color theme="1"/>
        <rFont val="Calibri"/>
        <family val="2"/>
        <scheme val="minor"/>
      </rPr>
      <t>?</t>
    </r>
  </si>
  <si>
    <r>
      <t>13. LEN</t>
    </r>
    <r>
      <rPr>
        <sz val="11"/>
        <color theme="1"/>
        <rFont val="Calibri"/>
        <family val="2"/>
        <scheme val="minor"/>
      </rPr>
      <t xml:space="preserve">: How can you find the length of the </t>
    </r>
    <r>
      <rPr>
        <b/>
        <sz val="11"/>
        <color theme="1"/>
        <rFont val="Calibri"/>
        <family val="2"/>
        <scheme val="minor"/>
      </rPr>
      <t>Customer Name</t>
    </r>
    <r>
      <rPr>
        <sz val="11"/>
        <color theme="1"/>
        <rFont val="Calibri"/>
        <family val="2"/>
        <scheme val="minor"/>
      </rPr>
      <t>?</t>
    </r>
  </si>
  <si>
    <r>
      <t>14. REPT</t>
    </r>
    <r>
      <rPr>
        <sz val="11"/>
        <color theme="1"/>
        <rFont val="Calibri"/>
        <family val="2"/>
        <scheme val="minor"/>
      </rPr>
      <t>: How can you repeat the character "*" 5 times?</t>
    </r>
  </si>
  <si>
    <r>
      <t>15. SUBSTITUTE</t>
    </r>
    <r>
      <rPr>
        <sz val="11"/>
        <color theme="1"/>
        <rFont val="Calibri"/>
        <family val="2"/>
        <scheme val="minor"/>
      </rPr>
      <t xml:space="preserve">: How can you replace "Economy" with "Standard" in the </t>
    </r>
    <r>
      <rPr>
        <b/>
        <sz val="11"/>
        <color theme="1"/>
        <rFont val="Calibri"/>
        <family val="2"/>
        <scheme val="minor"/>
      </rPr>
      <t>Class</t>
    </r>
    <r>
      <rPr>
        <sz val="11"/>
        <color theme="1"/>
        <rFont val="Calibri"/>
        <family val="2"/>
        <scheme val="minor"/>
      </rPr>
      <t xml:space="preserve"> column?</t>
    </r>
  </si>
  <si>
    <r>
      <t>16. REPLACE</t>
    </r>
    <r>
      <rPr>
        <sz val="11"/>
        <color theme="1"/>
        <rFont val="Calibri"/>
        <family val="2"/>
        <scheme val="minor"/>
      </rPr>
      <t xml:space="preserve">: How can you replace characters in the </t>
    </r>
    <r>
      <rPr>
        <b/>
        <sz val="11"/>
        <color theme="1"/>
        <rFont val="Calibri"/>
        <family val="2"/>
        <scheme val="minor"/>
      </rPr>
      <t>Flight No</t>
    </r>
    <r>
      <rPr>
        <sz val="11"/>
        <color theme="1"/>
        <rFont val="Calibri"/>
        <family val="2"/>
        <scheme val="minor"/>
      </rPr>
      <t xml:space="preserve"> starting from position 1 with "XX"?</t>
    </r>
  </si>
  <si>
    <r>
      <t>17. IFERROR</t>
    </r>
    <r>
      <rPr>
        <sz val="11"/>
        <color theme="1"/>
        <rFont val="Calibri"/>
        <family val="2"/>
        <scheme val="minor"/>
      </rPr>
      <t xml:space="preserve">: How can you handle errors in extracting the first 2 characters of the </t>
    </r>
    <r>
      <rPr>
        <b/>
        <sz val="11"/>
        <color theme="1"/>
        <rFont val="Calibri"/>
        <family val="2"/>
        <scheme val="minor"/>
      </rPr>
      <t>Flight No</t>
    </r>
    <r>
      <rPr>
        <sz val="11"/>
        <color theme="1"/>
        <rFont val="Calibri"/>
        <family val="2"/>
        <scheme val="minor"/>
      </rPr>
      <t xml:space="preserve"> by displaying "Invalid Flight No" if an error occurs?</t>
    </r>
  </si>
  <si>
    <r>
      <t>18. DOLLAR</t>
    </r>
    <r>
      <rPr>
        <sz val="11"/>
        <color theme="1"/>
        <rFont val="Calibri"/>
        <family val="2"/>
        <scheme val="minor"/>
      </rPr>
      <t xml:space="preserve">: How can you format the </t>
    </r>
    <r>
      <rPr>
        <b/>
        <sz val="11"/>
        <color theme="1"/>
        <rFont val="Calibri"/>
        <family val="2"/>
        <scheme val="minor"/>
      </rPr>
      <t>Price</t>
    </r>
    <r>
      <rPr>
        <sz val="11"/>
        <color theme="1"/>
        <rFont val="Calibri"/>
        <family val="2"/>
        <scheme val="minor"/>
      </rPr>
      <t xml:space="preserve"> as currency with 2 decimal places?</t>
    </r>
  </si>
  <si>
    <r>
      <t>19. FIXED</t>
    </r>
    <r>
      <rPr>
        <sz val="11"/>
        <color theme="1"/>
        <rFont val="Calibri"/>
        <family val="2"/>
        <scheme val="minor"/>
      </rPr>
      <t xml:space="preserve">: How can you format the </t>
    </r>
    <r>
      <rPr>
        <b/>
        <sz val="11"/>
        <color theme="1"/>
        <rFont val="Calibri"/>
        <family val="2"/>
        <scheme val="minor"/>
      </rPr>
      <t>Price</t>
    </r>
    <r>
      <rPr>
        <sz val="11"/>
        <color theme="1"/>
        <rFont val="Calibri"/>
        <family val="2"/>
        <scheme val="minor"/>
      </rPr>
      <t xml:space="preserve"> as a fixed-point number with no decimal places?</t>
    </r>
  </si>
  <si>
    <r>
      <t>20. NUMBERVALUE</t>
    </r>
    <r>
      <rPr>
        <sz val="11"/>
        <color theme="1"/>
        <rFont val="Calibri"/>
        <family val="2"/>
        <scheme val="minor"/>
      </rPr>
      <t xml:space="preserve">: How can you convert the text "1,200" in the </t>
    </r>
    <r>
      <rPr>
        <b/>
        <sz val="11"/>
        <color theme="1"/>
        <rFont val="Calibri"/>
        <family val="2"/>
        <scheme val="minor"/>
      </rPr>
      <t>Price</t>
    </r>
    <r>
      <rPr>
        <sz val="11"/>
        <color theme="1"/>
        <rFont val="Calibri"/>
        <family val="2"/>
        <scheme val="minor"/>
      </rPr>
      <t xml:space="preserve"> column into a number?</t>
    </r>
  </si>
  <si>
    <r>
      <t>21. TEXT</t>
    </r>
    <r>
      <rPr>
        <sz val="11"/>
        <color theme="1"/>
        <rFont val="Calibri"/>
        <family val="2"/>
        <scheme val="minor"/>
      </rPr>
      <t xml:space="preserve">: How can you format the </t>
    </r>
    <r>
      <rPr>
        <b/>
        <sz val="11"/>
        <color theme="1"/>
        <rFont val="Calibri"/>
        <family val="2"/>
        <scheme val="minor"/>
      </rPr>
      <t>Travel Date</t>
    </r>
    <r>
      <rPr>
        <sz val="11"/>
        <color theme="1"/>
        <rFont val="Calibri"/>
        <family val="2"/>
        <scheme val="minor"/>
      </rPr>
      <t xml:space="preserve"> to display as "August 15, 2024"?</t>
    </r>
  </si>
  <si>
    <r>
      <t>22. T</t>
    </r>
    <r>
      <rPr>
        <sz val="11"/>
        <color theme="1"/>
        <rFont val="Calibri"/>
        <family val="2"/>
        <scheme val="minor"/>
      </rPr>
      <t xml:space="preserve">: How can you check if the </t>
    </r>
    <r>
      <rPr>
        <b/>
        <sz val="11"/>
        <color theme="1"/>
        <rFont val="Calibri"/>
        <family val="2"/>
        <scheme val="minor"/>
      </rPr>
      <t>Destination</t>
    </r>
    <r>
      <rPr>
        <sz val="11"/>
        <color theme="1"/>
        <rFont val="Calibri"/>
        <family val="2"/>
        <scheme val="minor"/>
      </rPr>
      <t xml:space="preserve"> is a text value?</t>
    </r>
  </si>
  <si>
    <r>
      <t>23. BAHTTEXT</t>
    </r>
    <r>
      <rPr>
        <sz val="11"/>
        <color theme="1"/>
        <rFont val="Calibri"/>
        <family val="2"/>
        <scheme val="minor"/>
      </rPr>
      <t xml:space="preserve">: How can you convert the </t>
    </r>
    <r>
      <rPr>
        <b/>
        <sz val="11"/>
        <color theme="1"/>
        <rFont val="Calibri"/>
        <family val="2"/>
        <scheme val="minor"/>
      </rPr>
      <t>Price</t>
    </r>
    <r>
      <rPr>
        <sz val="11"/>
        <color theme="1"/>
        <rFont val="Calibri"/>
        <family val="2"/>
        <scheme val="minor"/>
      </rPr>
      <t xml:space="preserve"> "1200" into Thai Baht text format?</t>
    </r>
  </si>
  <si>
    <r>
      <t>24. CODE</t>
    </r>
    <r>
      <rPr>
        <sz val="11"/>
        <color theme="1"/>
        <rFont val="Calibri"/>
        <family val="2"/>
        <scheme val="minor"/>
      </rPr>
      <t xml:space="preserve">: How can you get the ASCII code of the first character in the </t>
    </r>
    <r>
      <rPr>
        <b/>
        <sz val="11"/>
        <color theme="1"/>
        <rFont val="Calibri"/>
        <family val="2"/>
        <scheme val="minor"/>
      </rPr>
      <t>Customer Name</t>
    </r>
    <r>
      <rPr>
        <sz val="11"/>
        <color theme="1"/>
        <rFont val="Calibri"/>
        <family val="2"/>
        <scheme val="minor"/>
      </rPr>
      <t>?</t>
    </r>
  </si>
  <si>
    <r>
      <t>25. VALUE</t>
    </r>
    <r>
      <rPr>
        <sz val="11"/>
        <color theme="1"/>
        <rFont val="Calibri"/>
        <family val="2"/>
        <scheme val="minor"/>
      </rPr>
      <t xml:space="preserve">: How can you convert the text "350" in the </t>
    </r>
    <r>
      <rPr>
        <b/>
        <sz val="11"/>
        <color theme="1"/>
        <rFont val="Calibri"/>
        <family val="2"/>
        <scheme val="minor"/>
      </rPr>
      <t>Price</t>
    </r>
    <r>
      <rPr>
        <sz val="11"/>
        <color theme="1"/>
        <rFont val="Calibri"/>
        <family val="2"/>
        <scheme val="minor"/>
      </rPr>
      <t xml:space="preserve"> column to a number?</t>
    </r>
  </si>
  <si>
    <r>
      <t>26. CHAR</t>
    </r>
    <r>
      <rPr>
        <sz val="11"/>
        <color theme="1"/>
        <rFont val="Calibri"/>
        <family val="2"/>
        <scheme val="minor"/>
      </rPr>
      <t>: How can you get the character represented by the ASCII code 65?</t>
    </r>
  </si>
  <si>
    <r>
      <t>27. EXACT</t>
    </r>
    <r>
      <rPr>
        <sz val="11"/>
        <color theme="1"/>
        <rFont val="Calibri"/>
        <family val="2"/>
        <scheme val="minor"/>
      </rPr>
      <t xml:space="preserve">: How can you compare if the </t>
    </r>
    <r>
      <rPr>
        <b/>
        <sz val="11"/>
        <color theme="1"/>
        <rFont val="Calibri"/>
        <family val="2"/>
        <scheme val="minor"/>
      </rPr>
      <t>Status</t>
    </r>
    <r>
      <rPr>
        <sz val="11"/>
        <color theme="1"/>
        <rFont val="Calibri"/>
        <family val="2"/>
        <scheme val="minor"/>
      </rPr>
      <t xml:space="preserve"> of two rows is exactly the same</t>
    </r>
  </si>
  <si>
    <t>FIRST 2 LETTERS</t>
  </si>
  <si>
    <t>4 LETTERS FROM BOOKING NO</t>
  </si>
  <si>
    <t>3RD TO 6TH FROM FLIGHT NO</t>
  </si>
  <si>
    <t>NO OF DAYS LEFT</t>
  </si>
  <si>
    <t>COMBINE</t>
  </si>
  <si>
    <t>ERROR</t>
  </si>
  <si>
    <t>BA</t>
  </si>
  <si>
    <t>DOLLAR</t>
  </si>
  <si>
    <t>FIXED</t>
  </si>
  <si>
    <t>TEXT</t>
  </si>
  <si>
    <t>CHECK (T)</t>
  </si>
  <si>
    <t>CODE</t>
  </si>
  <si>
    <t>STATUS</t>
  </si>
  <si>
    <t>STATUS (EXACT)</t>
  </si>
  <si>
    <t>DAY</t>
  </si>
  <si>
    <t>MONTH</t>
  </si>
  <si>
    <t>HOUR</t>
  </si>
  <si>
    <t>MINUTES</t>
  </si>
  <si>
    <t>SECONDS</t>
  </si>
  <si>
    <t>TIME</t>
  </si>
  <si>
    <t>DAYS</t>
  </si>
  <si>
    <t>DAY360</t>
  </si>
  <si>
    <t>WEEKDAY</t>
  </si>
  <si>
    <t>WEEKNUM</t>
  </si>
  <si>
    <t>DATEVALUE</t>
  </si>
  <si>
    <t>TIMEVALUE</t>
  </si>
  <si>
    <t>NETWORKDAYS</t>
  </si>
  <si>
    <t>NETWORKDAYS,INTL</t>
  </si>
  <si>
    <t>WORKDAY</t>
  </si>
  <si>
    <t>WORKDAY.INTL</t>
  </si>
  <si>
    <t>EOMONTH</t>
  </si>
  <si>
    <t>EDATE</t>
  </si>
  <si>
    <t>YEARFRAC</t>
  </si>
  <si>
    <t xml:space="preserve">workday started from 0  </t>
  </si>
  <si>
    <t>for international holidays</t>
  </si>
  <si>
    <t>default holidays</t>
  </si>
  <si>
    <t>End of the month</t>
  </si>
  <si>
    <t>usually used for trackers</t>
  </si>
  <si>
    <t>if condition</t>
  </si>
  <si>
    <t>NESTED IF</t>
  </si>
  <si>
    <t>AND</t>
  </si>
  <si>
    <t>OR</t>
  </si>
  <si>
    <t>IF WITH AND</t>
  </si>
  <si>
    <t>IF WITH OR</t>
  </si>
  <si>
    <t>IF WITH NOT</t>
  </si>
  <si>
    <t>LOGICAL FUNCTIONS</t>
  </si>
  <si>
    <t>Flash fill</t>
  </si>
  <si>
    <t>Shortcut = Ctrl+E</t>
  </si>
  <si>
    <t>HIDE SHORTCUTS</t>
  </si>
  <si>
    <t>Row = Ctrl+9</t>
  </si>
  <si>
    <t>Columns = Ctrl+0</t>
  </si>
  <si>
    <t>Consult Requirement with client</t>
  </si>
  <si>
    <t>decide design</t>
  </si>
  <si>
    <t>data sources</t>
  </si>
  <si>
    <t>create first cut/Draft</t>
  </si>
  <si>
    <t>changes as per feedback and quality check</t>
  </si>
  <si>
    <t>go live date</t>
  </si>
  <si>
    <t>Sop</t>
  </si>
  <si>
    <t>when we talk about Dashboard</t>
  </si>
  <si>
    <t>12 MODULE</t>
  </si>
  <si>
    <t>COUNTBLANK</t>
  </si>
  <si>
    <t>Team</t>
  </si>
  <si>
    <t>Points</t>
  </si>
  <si>
    <t>Team A</t>
  </si>
  <si>
    <t>Team B</t>
  </si>
  <si>
    <t>Team C</t>
  </si>
  <si>
    <t>Task</t>
  </si>
  <si>
    <t>Function</t>
  </si>
  <si>
    <r>
      <t xml:space="preserve">1. Calculate the total points scored by </t>
    </r>
    <r>
      <rPr>
        <b/>
        <sz val="11"/>
        <color theme="1"/>
        <rFont val="Calibri"/>
        <family val="2"/>
        <scheme val="minor"/>
      </rPr>
      <t>Team A</t>
    </r>
    <r>
      <rPr>
        <sz val="11"/>
        <color theme="1"/>
        <rFont val="Calibri"/>
        <family val="2"/>
        <scheme val="minor"/>
      </rPr>
      <t>.</t>
    </r>
  </si>
  <si>
    <t>SUMIF</t>
  </si>
  <si>
    <r>
      <t xml:space="preserve">2. Determine the total points scored by </t>
    </r>
    <r>
      <rPr>
        <b/>
        <sz val="11"/>
        <color theme="1"/>
        <rFont val="Calibri"/>
        <family val="2"/>
        <scheme val="minor"/>
      </rPr>
      <t>Team B</t>
    </r>
    <r>
      <rPr>
        <sz val="11"/>
        <color theme="1"/>
        <rFont val="Calibri"/>
        <family val="2"/>
        <scheme val="minor"/>
      </rPr>
      <t xml:space="preserve"> between </t>
    </r>
    <r>
      <rPr>
        <b/>
        <sz val="11"/>
        <color theme="1"/>
        <rFont val="Calibri"/>
        <family val="2"/>
        <scheme val="minor"/>
      </rPr>
      <t>2024-01-01</t>
    </r>
    <r>
      <rPr>
        <sz val="11"/>
        <color theme="1"/>
        <rFont val="Calibri"/>
        <family val="2"/>
        <scheme val="minor"/>
      </rPr>
      <t xml:space="preserve"> and </t>
    </r>
    <r>
      <rPr>
        <b/>
        <sz val="11"/>
        <color theme="1"/>
        <rFont val="Calibri"/>
        <family val="2"/>
        <scheme val="minor"/>
      </rPr>
      <t>2024-01-03</t>
    </r>
    <r>
      <rPr>
        <sz val="11"/>
        <color theme="1"/>
        <rFont val="Calibri"/>
        <family val="2"/>
        <scheme val="minor"/>
      </rPr>
      <t>.</t>
    </r>
  </si>
  <si>
    <t>SUMIFS</t>
  </si>
  <si>
    <r>
      <t xml:space="preserve">3. Count the number of entries where </t>
    </r>
    <r>
      <rPr>
        <b/>
        <sz val="11"/>
        <color theme="1"/>
        <rFont val="Calibri"/>
        <family val="2"/>
        <scheme val="minor"/>
      </rPr>
      <t>Team C</t>
    </r>
    <r>
      <rPr>
        <sz val="11"/>
        <color theme="1"/>
        <rFont val="Calibri"/>
        <family val="2"/>
        <scheme val="minor"/>
      </rPr>
      <t xml:space="preserve"> has scored points.</t>
    </r>
  </si>
  <si>
    <t>COUNTIF</t>
  </si>
  <si>
    <r>
      <t xml:space="preserve">4. Count the number of entries for </t>
    </r>
    <r>
      <rPr>
        <b/>
        <sz val="11"/>
        <color theme="1"/>
        <rFont val="Calibri"/>
        <family val="2"/>
        <scheme val="minor"/>
      </rPr>
      <t>Team A</t>
    </r>
    <r>
      <rPr>
        <sz val="11"/>
        <color theme="1"/>
        <rFont val="Calibri"/>
        <family val="2"/>
        <scheme val="minor"/>
      </rPr>
      <t xml:space="preserve"> between </t>
    </r>
    <r>
      <rPr>
        <b/>
        <sz val="11"/>
        <color theme="1"/>
        <rFont val="Calibri"/>
        <family val="2"/>
        <scheme val="minor"/>
      </rPr>
      <t>2024-01-01</t>
    </r>
    <r>
      <rPr>
        <sz val="11"/>
        <color theme="1"/>
        <rFont val="Calibri"/>
        <family val="2"/>
        <scheme val="minor"/>
      </rPr>
      <t xml:space="preserve"> and </t>
    </r>
    <r>
      <rPr>
        <b/>
        <sz val="11"/>
        <color theme="1"/>
        <rFont val="Calibri"/>
        <family val="2"/>
        <scheme val="minor"/>
      </rPr>
      <t>2024-01-05</t>
    </r>
    <r>
      <rPr>
        <sz val="11"/>
        <color theme="1"/>
        <rFont val="Calibri"/>
        <family val="2"/>
        <scheme val="minor"/>
      </rPr>
      <t>.</t>
    </r>
  </si>
  <si>
    <t>COUNTIFS</t>
  </si>
  <si>
    <r>
      <t xml:space="preserve">5. Find the average points scored by </t>
    </r>
    <r>
      <rPr>
        <b/>
        <sz val="11"/>
        <color theme="1"/>
        <rFont val="Calibri"/>
        <family val="2"/>
        <scheme val="minor"/>
      </rPr>
      <t>Team B</t>
    </r>
    <r>
      <rPr>
        <sz val="11"/>
        <color theme="1"/>
        <rFont val="Calibri"/>
        <family val="2"/>
        <scheme val="minor"/>
      </rPr>
      <t>.</t>
    </r>
  </si>
  <si>
    <t>AVERAGEIF</t>
  </si>
  <si>
    <r>
      <t xml:space="preserve">6. Calculate the average points scored by </t>
    </r>
    <r>
      <rPr>
        <b/>
        <sz val="11"/>
        <color theme="1"/>
        <rFont val="Calibri"/>
        <family val="2"/>
        <scheme val="minor"/>
      </rPr>
      <t>Team C</t>
    </r>
    <r>
      <rPr>
        <sz val="11"/>
        <color theme="1"/>
        <rFont val="Calibri"/>
        <family val="2"/>
        <scheme val="minor"/>
      </rPr>
      <t xml:space="preserve"> between </t>
    </r>
    <r>
      <rPr>
        <b/>
        <sz val="11"/>
        <color theme="1"/>
        <rFont val="Calibri"/>
        <family val="2"/>
        <scheme val="minor"/>
      </rPr>
      <t>2024-01-01</t>
    </r>
    <r>
      <rPr>
        <sz val="11"/>
        <color theme="1"/>
        <rFont val="Calibri"/>
        <family val="2"/>
        <scheme val="minor"/>
      </rPr>
      <t xml:space="preserve"> and </t>
    </r>
    <r>
      <rPr>
        <b/>
        <sz val="11"/>
        <color theme="1"/>
        <rFont val="Calibri"/>
        <family val="2"/>
        <scheme val="minor"/>
      </rPr>
      <t>2024-01-04</t>
    </r>
    <r>
      <rPr>
        <sz val="11"/>
        <color theme="1"/>
        <rFont val="Calibri"/>
        <family val="2"/>
        <scheme val="minor"/>
      </rPr>
      <t>.</t>
    </r>
  </si>
  <si>
    <t>AVERAGEIFS</t>
  </si>
  <si>
    <t>7. Determine the maximum points scored in the dataset.</t>
  </si>
  <si>
    <t>DMax</t>
  </si>
  <si>
    <t>8. Find the minimum points scored in the dataset.</t>
  </si>
  <si>
    <t>DMin</t>
  </si>
  <si>
    <r>
      <t xml:space="preserve">9. Retrieve the points scored by </t>
    </r>
    <r>
      <rPr>
        <b/>
        <sz val="11"/>
        <color theme="1"/>
        <rFont val="Calibri"/>
        <family val="2"/>
        <scheme val="minor"/>
      </rPr>
      <t>Team B</t>
    </r>
    <r>
      <rPr>
        <sz val="11"/>
        <color theme="1"/>
        <rFont val="Calibri"/>
        <family val="2"/>
        <scheme val="minor"/>
      </rPr>
      <t xml:space="preserve"> on </t>
    </r>
    <r>
      <rPr>
        <b/>
        <sz val="11"/>
        <color theme="1"/>
        <rFont val="Calibri"/>
        <family val="2"/>
        <scheme val="minor"/>
      </rPr>
      <t>2024-01-03</t>
    </r>
    <r>
      <rPr>
        <sz val="11"/>
        <color theme="1"/>
        <rFont val="Calibri"/>
        <family val="2"/>
        <scheme val="minor"/>
      </rPr>
      <t>.</t>
    </r>
  </si>
  <si>
    <t>DGET</t>
  </si>
  <si>
    <t>10. Calculate the subtotal of points, considering only visible rows in a filtered dataset.</t>
  </si>
  <si>
    <t>SUBTOTAL</t>
  </si>
  <si>
    <r>
      <t xml:space="preserve">11. Determine how many blank cells are in the </t>
    </r>
    <r>
      <rPr>
        <b/>
        <sz val="11"/>
        <color theme="1"/>
        <rFont val="Calibri"/>
        <family val="2"/>
        <scheme val="minor"/>
      </rPr>
      <t>Points</t>
    </r>
    <r>
      <rPr>
        <sz val="11"/>
        <color theme="1"/>
        <rFont val="Calibri"/>
        <family val="2"/>
        <scheme val="minor"/>
      </rPr>
      <t xml:space="preserve"> column.</t>
    </r>
  </si>
  <si>
    <r>
      <t xml:space="preserve">12. Identify if there are any text entries in the </t>
    </r>
    <r>
      <rPr>
        <b/>
        <sz val="11"/>
        <color theme="1"/>
        <rFont val="Calibri"/>
        <family val="2"/>
        <scheme val="minor"/>
      </rPr>
      <t>Points</t>
    </r>
    <r>
      <rPr>
        <sz val="11"/>
        <color theme="1"/>
        <rFont val="Calibri"/>
        <family val="2"/>
        <scheme val="minor"/>
      </rPr>
      <t xml:space="preserve"> column.</t>
    </r>
  </si>
  <si>
    <t>ISTEXT</t>
  </si>
  <si>
    <t>DGET(B30:D38)</t>
  </si>
  <si>
    <t>cell C28</t>
  </si>
  <si>
    <t>DGET = number error(if answer have more than 1)</t>
  </si>
  <si>
    <t>XLOOKUP , SORTING IS NOT AVAILABLE IN OLDER VERSION</t>
  </si>
  <si>
    <t>Sample Data 3</t>
  </si>
  <si>
    <t>LOGICAL &amp; DATE/TIME FUNCTIONS</t>
  </si>
  <si>
    <t>Event</t>
  </si>
  <si>
    <t>Start Date</t>
  </si>
  <si>
    <t>End Date</t>
  </si>
  <si>
    <t>Start Time</t>
  </si>
  <si>
    <t>End Time</t>
  </si>
  <si>
    <t>Project Kickoff</t>
  </si>
  <si>
    <t>Midterm Review</t>
  </si>
  <si>
    <t>Final Deadline</t>
  </si>
  <si>
    <t>Task Number</t>
  </si>
  <si>
    <t>Task Description</t>
  </si>
  <si>
    <t>Get Today’s Date</t>
  </si>
  <si>
    <t>Get the Current Date and Time</t>
  </si>
  <si>
    <t>Extract the Day from the Start Date of the Project Kickoff</t>
  </si>
  <si>
    <t>Extract the Month from the Start Date of the Project Kickoff</t>
  </si>
  <si>
    <t>Extract the Year from the Start Date of the Project Kickoff</t>
  </si>
  <si>
    <t>Convert the Start Date of the Project Kickoff to a Date Value</t>
  </si>
  <si>
    <t>Convert the Start Time of the Project Kickoff to a Time Value</t>
  </si>
  <si>
    <t>Get the Hour of the Start Time of the Project Kickoff</t>
  </si>
  <si>
    <t>Get the Minutes of the Start Time of the Project Kickoff</t>
  </si>
  <si>
    <t>Get the Seconds of the Start Time of the Project Kickoff</t>
  </si>
  <si>
    <t>Calculate the Number of Days between the End Date and Start Date of the Project Kickoff</t>
  </si>
  <si>
    <t>Calculate the Difference in Days between the End Date and Start Date using the DAY360 Method</t>
  </si>
  <si>
    <t>Determine the Day of the Week for the Start Date of the Project Kickoff (1 = Sunday, 2 = Monday, etc.)</t>
  </si>
  <si>
    <t>Determine the Week Number of the Year for the Start Date of the Project Kickoff</t>
  </si>
  <si>
    <t>Convert the Start Date of the Project Kickoff to a Date Value (Alternative)</t>
  </si>
  <si>
    <t>Convert the Start Time of the Project Kickoff to a Time Value (Alternative)</t>
  </si>
  <si>
    <t>Calculate the Number of Network Days (excluding weekends and holidays) between Start Date and End Date</t>
  </si>
  <si>
    <t>Calculate the Number of Network Days with International Weekend Parameters (e.g., weekends on Friday and Saturday) between Start Date and End Date</t>
  </si>
  <si>
    <t>Calculate the Next Workday after the End Date of the Project Kickoff</t>
  </si>
  <si>
    <t>Calculate the Next Workday with International Weekend Parameters (e.g., weekends on Friday and Saturday) after the End Date of the Project Kickoff</t>
  </si>
  <si>
    <t>Find the Last Day of the Month for the End Date of the Project Kickoff</t>
  </si>
  <si>
    <t>Find the Date that is a Certain Number of Months before or after the Start Date</t>
  </si>
  <si>
    <t>Calculate the Fraction of the Year between the Start Date and End Date</t>
  </si>
  <si>
    <t>POINTS TO REMEMBER</t>
  </si>
  <si>
    <t>SOLUTIONS</t>
  </si>
  <si>
    <t>Employee</t>
  </si>
  <si>
    <t>Hours Worked</t>
  </si>
  <si>
    <t>Project Deadline Met</t>
  </si>
  <si>
    <t>Overtime Hours</t>
  </si>
  <si>
    <t>John</t>
  </si>
  <si>
    <t>Yes</t>
  </si>
  <si>
    <t>Alice</t>
  </si>
  <si>
    <t>No</t>
  </si>
  <si>
    <t>Marketing</t>
  </si>
  <si>
    <t>Bob</t>
  </si>
  <si>
    <t>IT</t>
  </si>
  <si>
    <t>Carol</t>
  </si>
  <si>
    <t>Dave</t>
  </si>
  <si>
    <t>Eve</t>
  </si>
  <si>
    <t>Frank</t>
  </si>
  <si>
    <t>DATE &amp; TIME FUNCTIONS</t>
  </si>
  <si>
    <t>Check if the employee worked more than 40 hours.</t>
  </si>
  <si>
    <t>Determine if an employee worked more than 40 hours and met the project deadline.</t>
  </si>
  <si>
    <t>Check if an employee worked more than 40 hours and has more than 5 overtime hours.</t>
  </si>
  <si>
    <t>Determine if an employee either worked more than 40 hours or has more than 5 overtime hours.</t>
  </si>
  <si>
    <t>Check if an employee worked more than 40 hours and is in the IT department.</t>
  </si>
  <si>
    <t>Determine if an employee worked more than 40 hours or is in the Marketing department.</t>
  </si>
  <si>
    <t>Check if an employee did not meet the project deadline</t>
  </si>
  <si>
    <t>TASK NO</t>
  </si>
  <si>
    <t>FUNCTIONS USED</t>
  </si>
  <si>
    <t>TASK</t>
  </si>
  <si>
    <t>01-08-2024</t>
  </si>
  <si>
    <t>text format</t>
  </si>
  <si>
    <t>09:00:00</t>
  </si>
  <si>
    <t>1 TASK</t>
  </si>
  <si>
    <t>2 TASK</t>
  </si>
  <si>
    <t>3 TASK</t>
  </si>
  <si>
    <t>4 TASK</t>
  </si>
  <si>
    <t>Question: 1</t>
  </si>
  <si>
    <t>Candy Name</t>
  </si>
  <si>
    <t>Quantity (qt)</t>
  </si>
  <si>
    <t>Price per Unit</t>
  </si>
  <si>
    <t>Total Price</t>
  </si>
  <si>
    <t>Snickers</t>
  </si>
  <si>
    <t>$1.50</t>
  </si>
  <si>
    <t>$15.00</t>
  </si>
  <si>
    <t>M&amp;Ms</t>
  </si>
  <si>
    <t>$2.00</t>
  </si>
  <si>
    <t>$40.00</t>
  </si>
  <si>
    <t>KitKat</t>
  </si>
  <si>
    <t>$1.75</t>
  </si>
  <si>
    <t>$26.25</t>
  </si>
  <si>
    <t>Reese's Cups</t>
  </si>
  <si>
    <t>$1.80</t>
  </si>
  <si>
    <t>$21.60</t>
  </si>
  <si>
    <t>Houston</t>
  </si>
  <si>
    <t>Twix</t>
  </si>
  <si>
    <t>$1.65</t>
  </si>
  <si>
    <t>$29.70</t>
  </si>
  <si>
    <t>Skittles</t>
  </si>
  <si>
    <t>$1.20</t>
  </si>
  <si>
    <t>$30.00</t>
  </si>
  <si>
    <t>Milky Way</t>
  </si>
  <si>
    <t>$2.10</t>
  </si>
  <si>
    <t>$16.80</t>
  </si>
  <si>
    <t>San Antonio</t>
  </si>
  <si>
    <t>Hershey's Bar</t>
  </si>
  <si>
    <t>$1.25</t>
  </si>
  <si>
    <t>$17.50</t>
  </si>
  <si>
    <t>San Diego</t>
  </si>
  <si>
    <t>Butterfinger</t>
  </si>
  <si>
    <t>$1.40</t>
  </si>
  <si>
    <t>$30.80</t>
  </si>
  <si>
    <t>3 Musketeers</t>
  </si>
  <si>
    <t>$1.55</t>
  </si>
  <si>
    <t>$26.35</t>
  </si>
  <si>
    <t>San Jose</t>
  </si>
  <si>
    <t>VLOOKUP + COLUMN Questions</t>
  </si>
  <si>
    <t>SOLUTION</t>
  </si>
  <si>
    <t>Employment ID</t>
  </si>
  <si>
    <t>Salary ($)</t>
  </si>
  <si>
    <t>VLOOKUP +  IFEERROR Questions</t>
  </si>
  <si>
    <t>PHONE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</si>
</sst>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quot;₹&quot;\ #,##0;[Red]&quot;₹&quot;\ \-#,##0"/>
    <numFmt numFmtId="8" formatCode="&quot;₹&quot;\ #,##0.00;[Red]&quot;₹&quot;\ \-#,##0.00"/>
    <numFmt numFmtId="44" formatCode="_ &quot;₹&quot;\ * #,##0.00_ ;_ &quot;₹&quot;\ * \-#,##0.00_ ;_ &quot;₹&quot;\ * &quot;-&quot;??_ ;_ @_ "/>
    <numFmt numFmtId="164" formatCode="[$-F800]dddd\,\ mmmm\ dd\,\ yyyy"/>
    <numFmt numFmtId="165" formatCode="_-[$$-409]* #,##0.00_ ;_-[$$-409]* \-#,##0.00\ ;_-[$$-409]* &quot;-&quot;??_ ;_-@_ "/>
    <numFmt numFmtId="166" formatCode="&quot;₹&quot;\ #,##0.00"/>
    <numFmt numFmtId="167" formatCode="[$$-409]#,##0.00"/>
    <numFmt numFmtId="168" formatCode="[$$-409]#,##0"/>
    <numFmt numFmtId="169" formatCode="&quot;₹&quot;\ #,##0"/>
    <numFmt numFmtId="170" formatCode="mm/dd"/>
    <numFmt numFmtId="171" formatCode="_(* #,##0.00_);_(* \(#,##0.00\);_(* &quot;-&quot;??_);_(@_)"/>
    <numFmt numFmtId="172" formatCode="&quot;$&quot;#,##0.00"/>
    <numFmt numFmtId="173" formatCode="mm/dd/yyyy"/>
    <numFmt numFmtId="174" formatCode="mm/dd/yy;@"/>
    <numFmt numFmtId="175" formatCode="&quot;$&quot;#,##0"/>
    <numFmt numFmtId="176" formatCode="_(&quot;$&quot;* #,##0.00_);_(&quot;$&quot;* \(#,##0.00\);_(&quot;$&quot;* &quot;-&quot;??_);_(@_)"/>
    <numFmt numFmtId="177" formatCode="&quot; Excellent&quot;"/>
    <numFmt numFmtId="178" formatCode="&quot; Very Good&quot;"/>
    <numFmt numFmtId="179" formatCode="&quot; Good&quot;"/>
    <numFmt numFmtId="180" formatCode="&quot; Fair&quot;"/>
    <numFmt numFmtId="181" formatCode="&quot; Poor&quot;"/>
    <numFmt numFmtId="182" formatCode="_ [$₹-4009]\ * #,##0.00_ ;_ [$₹-4009]\ * \-#,##0.00_ ;_ [$₹-4009]\ * &quot;-&quot;??_ ;_ @_ "/>
    <numFmt numFmtId="183" formatCode="[$-F400]h:mm:ss\ AM/PM"/>
  </numFmts>
  <fonts count="39">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
      <b/>
      <sz val="11"/>
      <color theme="0"/>
      <name val="Calibri"/>
      <family val="2"/>
      <scheme val="minor"/>
    </font>
    <font>
      <sz val="8"/>
      <name val="Calibri"/>
      <family val="2"/>
      <scheme val="minor"/>
    </font>
    <font>
      <b/>
      <sz val="13.5"/>
      <color theme="1"/>
      <name val="Calibri"/>
      <family val="2"/>
      <scheme val="minor"/>
    </font>
    <font>
      <sz val="11"/>
      <color rgb="FF9C5700"/>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b/>
      <u/>
      <sz val="20"/>
      <color theme="0" tint="-4.9989318521683403E-2"/>
      <name val="Calibri"/>
      <family val="2"/>
      <scheme val="minor"/>
    </font>
    <font>
      <b/>
      <sz val="14"/>
      <color rgb="FF121737"/>
      <name val="Calibri Light"/>
      <family val="2"/>
      <scheme val="major"/>
    </font>
    <font>
      <sz val="14"/>
      <color rgb="FF121737"/>
      <name val="Calibri Light"/>
      <family val="2"/>
      <scheme val="major"/>
    </font>
    <font>
      <b/>
      <sz val="16"/>
      <color theme="1"/>
      <name val="Calibri"/>
      <family val="2"/>
      <scheme val="minor"/>
    </font>
    <font>
      <b/>
      <sz val="20"/>
      <color theme="0" tint="-4.9989318521683403E-2"/>
      <name val="Calibri"/>
      <family val="2"/>
      <scheme val="minor"/>
    </font>
    <font>
      <sz val="10"/>
      <name val="Arial"/>
      <family val="2"/>
    </font>
    <font>
      <b/>
      <sz val="11"/>
      <name val="Calibri"/>
      <family val="2"/>
      <scheme val="minor"/>
    </font>
    <font>
      <sz val="11"/>
      <name val="Calibri"/>
      <family val="2"/>
      <scheme val="minor"/>
    </font>
    <font>
      <sz val="10"/>
      <color indexed="8"/>
      <name val="Arial"/>
      <family val="2"/>
    </font>
    <font>
      <sz val="11"/>
      <color indexed="8"/>
      <name val="Calibri"/>
      <family val="2"/>
    </font>
    <font>
      <sz val="8"/>
      <color theme="1"/>
      <name val="Arial"/>
      <family val="2"/>
    </font>
    <font>
      <sz val="11"/>
      <color theme="1"/>
      <name val="Arial"/>
      <family val="2"/>
    </font>
    <font>
      <sz val="10"/>
      <color theme="1"/>
      <name val="Tahoma"/>
      <family val="2"/>
    </font>
    <font>
      <sz val="11"/>
      <color theme="1"/>
      <name val="Book Antiqua"/>
      <family val="1"/>
    </font>
    <font>
      <b/>
      <sz val="20"/>
      <color theme="1"/>
      <name val="Calibri"/>
      <family val="2"/>
      <scheme val="minor"/>
    </font>
    <font>
      <sz val="22"/>
      <color theme="1"/>
      <name val="Calibri"/>
      <family val="2"/>
      <scheme val="minor"/>
    </font>
    <font>
      <b/>
      <sz val="20"/>
      <color theme="1"/>
      <name val="Book Antiqua"/>
      <family val="1"/>
    </font>
    <font>
      <b/>
      <sz val="18"/>
      <color theme="1"/>
      <name val="Calibri"/>
      <family val="2"/>
      <scheme val="minor"/>
    </font>
    <font>
      <b/>
      <sz val="22"/>
      <color rgb="FF000000"/>
      <name val="Calibri"/>
      <family val="2"/>
      <scheme val="minor"/>
    </font>
    <font>
      <b/>
      <sz val="22"/>
      <color theme="1"/>
      <name val="Calibri"/>
      <family val="2"/>
      <scheme val="minor"/>
    </font>
    <font>
      <b/>
      <u/>
      <sz val="22"/>
      <color theme="1"/>
      <name val="Calibri"/>
      <family val="2"/>
      <scheme val="minor"/>
    </font>
    <font>
      <b/>
      <u/>
      <sz val="22"/>
      <color rgb="FF000000"/>
      <name val="Calibri"/>
      <family val="2"/>
      <scheme val="minor"/>
    </font>
    <font>
      <sz val="10"/>
      <color theme="1"/>
      <name val="Arial Unicode MS"/>
    </font>
    <font>
      <sz val="14"/>
      <color theme="1"/>
      <name val="Calibri"/>
      <family val="2"/>
      <scheme val="minor"/>
    </font>
    <font>
      <b/>
      <u/>
      <sz val="14"/>
      <color theme="1"/>
      <name val="Calibri"/>
      <family val="2"/>
      <scheme val="minor"/>
    </font>
  </fonts>
  <fills count="27">
    <fill>
      <patternFill patternType="none"/>
    </fill>
    <fill>
      <patternFill patternType="gray125"/>
    </fill>
    <fill>
      <patternFill patternType="solid">
        <fgColor theme="8" tint="0.79998168889431442"/>
        <bgColor indexed="65"/>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EB9C"/>
      </patternFill>
    </fill>
    <fill>
      <patternFill patternType="solid">
        <fgColor theme="5"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CC"/>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A5A5A5"/>
      </patternFill>
    </fill>
    <fill>
      <patternFill patternType="solid">
        <fgColor theme="4" tint="0.59999389629810485"/>
        <bgColor theme="4" tint="0.59999389629810485"/>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4" tint="0.39997558519241921"/>
        <bgColor indexed="64"/>
      </patternFill>
    </fill>
  </fills>
  <borders count="8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indexed="64"/>
      </left>
      <right/>
      <top style="thin">
        <color theme="4" tint="0.39997558519241921"/>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505A64"/>
      </left>
      <right style="medium">
        <color rgb="FF505A64"/>
      </right>
      <top style="medium">
        <color rgb="FF505A64"/>
      </top>
      <bottom style="medium">
        <color rgb="FF505A64"/>
      </bottom>
      <diagonal/>
    </border>
    <border>
      <left style="medium">
        <color rgb="FF505A64"/>
      </left>
      <right/>
      <top style="medium">
        <color rgb="FF505A64"/>
      </top>
      <bottom style="medium">
        <color rgb="FF505A64"/>
      </bottom>
      <diagonal/>
    </border>
    <border>
      <left style="medium">
        <color rgb="FF505A64"/>
      </left>
      <right style="medium">
        <color rgb="FF505A64"/>
      </right>
      <top style="medium">
        <color rgb="FF505A64"/>
      </top>
      <bottom/>
      <diagonal/>
    </border>
    <border>
      <left style="medium">
        <color rgb="FF505A64"/>
      </left>
      <right/>
      <top style="medium">
        <color rgb="FF505A64"/>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theme="0"/>
      </left>
      <right/>
      <top style="thick">
        <color theme="0"/>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bottom style="double">
        <color rgb="FF3F3F3F"/>
      </bottom>
      <diagonal/>
    </border>
    <border>
      <left style="double">
        <color rgb="FF3F3F3F"/>
      </left>
      <right style="double">
        <color rgb="FF3F3F3F"/>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theme="0"/>
      </left>
      <right/>
      <top style="thin">
        <color theme="0"/>
      </top>
      <bottom/>
      <diagonal/>
    </border>
    <border>
      <left/>
      <right style="medium">
        <color rgb="FF000000"/>
      </right>
      <top style="medium">
        <color indexed="64"/>
      </top>
      <bottom/>
      <diagonal/>
    </border>
    <border>
      <left style="thin">
        <color theme="0"/>
      </left>
      <right/>
      <top style="thin">
        <color indexed="64"/>
      </top>
      <bottom/>
      <diagonal/>
    </border>
    <border>
      <left/>
      <right/>
      <top style="thick">
        <color theme="0"/>
      </top>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1">
    <xf numFmtId="0" fontId="0" fillId="0" borderId="0"/>
    <xf numFmtId="0" fontId="3" fillId="2" borderId="0" applyNumberFormat="0" applyBorder="0" applyAlignment="0" applyProtection="0"/>
    <xf numFmtId="0" fontId="10" fillId="7" borderId="0" applyNumberFormat="0" applyBorder="0" applyAlignment="0" applyProtection="0"/>
    <xf numFmtId="44" fontId="3" fillId="0" borderId="0" applyFont="0" applyFill="0" applyBorder="0" applyAlignment="0" applyProtection="0"/>
    <xf numFmtId="0" fontId="3" fillId="12" borderId="46" applyNumberFormat="0" applyFont="0" applyAlignment="0" applyProtection="0"/>
    <xf numFmtId="0" fontId="19" fillId="0" borderId="0"/>
    <xf numFmtId="171" fontId="19" fillId="0" borderId="0" applyFont="0" applyFill="0" applyBorder="0" applyAlignment="0" applyProtection="0"/>
    <xf numFmtId="176" fontId="19" fillId="0" borderId="0" applyFont="0" applyFill="0" applyBorder="0" applyAlignment="0" applyProtection="0"/>
    <xf numFmtId="0" fontId="22" fillId="0" borderId="0"/>
    <xf numFmtId="0" fontId="19" fillId="0" borderId="0"/>
    <xf numFmtId="0" fontId="7" fillId="18" borderId="57" applyNumberFormat="0" applyAlignment="0" applyProtection="0"/>
  </cellStyleXfs>
  <cellXfs count="666">
    <xf numFmtId="0" fontId="0" fillId="0" borderId="0" xfId="0"/>
    <xf numFmtId="0" fontId="0" fillId="0" borderId="0" xfId="0" applyAlignment="1">
      <alignment horizontal="left"/>
    </xf>
    <xf numFmtId="0" fontId="0" fillId="0" borderId="0" xfId="0" applyAlignment="1">
      <alignment vertical="center" wrapText="1"/>
    </xf>
    <xf numFmtId="164" fontId="0" fillId="0" borderId="0" xfId="0" applyNumberFormat="1" applyAlignment="1">
      <alignment horizontal="center"/>
    </xf>
    <xf numFmtId="0" fontId="1" fillId="0" borderId="0" xfId="0" applyFont="1" applyAlignment="1">
      <alignment horizontal="center" vertical="center" wrapText="1"/>
    </xf>
    <xf numFmtId="164" fontId="1" fillId="0" borderId="0" xfId="0" applyNumberFormat="1" applyFont="1" applyAlignment="1">
      <alignment horizontal="center"/>
    </xf>
    <xf numFmtId="0" fontId="0" fillId="0" borderId="0" xfId="0" applyAlignment="1">
      <alignment horizontal="center"/>
    </xf>
    <xf numFmtId="0" fontId="4" fillId="0" borderId="0" xfId="0" applyFont="1"/>
    <xf numFmtId="0" fontId="4" fillId="0" borderId="0" xfId="0" applyFont="1" applyAlignment="1">
      <alignment horizontal="center"/>
    </xf>
    <xf numFmtId="0" fontId="1"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0" xfId="0" applyFont="1" applyAlignment="1">
      <alignment horizontal="center"/>
    </xf>
    <xf numFmtId="0" fontId="6" fillId="0" borderId="0" xfId="0" applyFont="1" applyAlignment="1">
      <alignment horizontal="center"/>
    </xf>
    <xf numFmtId="14" fontId="4" fillId="0" borderId="0" xfId="0" applyNumberFormat="1" applyFont="1" applyAlignment="1">
      <alignment horizontal="center"/>
    </xf>
    <xf numFmtId="0" fontId="5" fillId="0" borderId="0" xfId="0" applyFont="1" applyAlignment="1">
      <alignment horizontal="center"/>
    </xf>
    <xf numFmtId="2" fontId="0" fillId="3" borderId="0" xfId="0" applyNumberFormat="1" applyFill="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4" xfId="0" applyBorder="1"/>
    <xf numFmtId="0" fontId="0" fillId="0" borderId="25" xfId="0" applyBorder="1"/>
    <xf numFmtId="0" fontId="0" fillId="0" borderId="4" xfId="0" applyBorder="1" applyAlignment="1">
      <alignment vertical="center" wrapText="1"/>
    </xf>
    <xf numFmtId="6" fontId="0" fillId="0" borderId="5" xfId="0" applyNumberFormat="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7" fillId="5"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165" fontId="0" fillId="0" borderId="0" xfId="0" applyNumberFormat="1"/>
    <xf numFmtId="6" fontId="0" fillId="0" borderId="0" xfId="0" applyNumberFormat="1" applyAlignment="1">
      <alignment vertical="center" wrapText="1"/>
    </xf>
    <xf numFmtId="6" fontId="0" fillId="0" borderId="7" xfId="0" applyNumberFormat="1" applyBorder="1" applyAlignment="1">
      <alignment vertical="center" wrapText="1"/>
    </xf>
    <xf numFmtId="6" fontId="0" fillId="0" borderId="8" xfId="0" applyNumberFormat="1" applyBorder="1" applyAlignment="1">
      <alignment vertical="center" wrapText="1"/>
    </xf>
    <xf numFmtId="0" fontId="0" fillId="4" borderId="26" xfId="0" applyFill="1" applyBorder="1" applyAlignment="1">
      <alignment vertical="center" wrapText="1"/>
    </xf>
    <xf numFmtId="0" fontId="0" fillId="4" borderId="27" xfId="0" applyFill="1" applyBorder="1" applyAlignment="1">
      <alignment vertical="center" wrapText="1"/>
    </xf>
    <xf numFmtId="6" fontId="0" fillId="4" borderId="27" xfId="0" applyNumberFormat="1" applyFill="1" applyBorder="1" applyAlignment="1">
      <alignment vertical="center" wrapText="1"/>
    </xf>
    <xf numFmtId="6" fontId="0" fillId="4" borderId="28" xfId="0" applyNumberFormat="1" applyFill="1"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6" fontId="0" fillId="0" borderId="27" xfId="0" applyNumberFormat="1" applyBorder="1" applyAlignment="1">
      <alignment vertical="center" wrapText="1"/>
    </xf>
    <xf numFmtId="6" fontId="0" fillId="0" borderId="28" xfId="0" applyNumberFormat="1" applyBorder="1" applyAlignment="1">
      <alignment vertical="center" wrapText="1"/>
    </xf>
    <xf numFmtId="0" fontId="1" fillId="4" borderId="26" xfId="0" applyFont="1" applyFill="1" applyBorder="1" applyAlignment="1">
      <alignment vertical="center" wrapText="1"/>
    </xf>
    <xf numFmtId="0" fontId="1" fillId="0" borderId="26" xfId="0" applyFont="1" applyBorder="1" applyAlignment="1">
      <alignment vertical="center" wrapText="1"/>
    </xf>
    <xf numFmtId="0" fontId="1" fillId="0" borderId="0" xfId="0" applyFont="1" applyAlignment="1">
      <alignment vertical="center" wrapText="1"/>
    </xf>
    <xf numFmtId="0" fontId="0" fillId="0" borderId="29" xfId="0" applyBorder="1"/>
    <xf numFmtId="0" fontId="0" fillId="0" borderId="30" xfId="0" applyBorder="1"/>
    <xf numFmtId="0" fontId="0" fillId="0" borderId="31" xfId="0" applyBorder="1"/>
    <xf numFmtId="0" fontId="0" fillId="4" borderId="32" xfId="0" applyFill="1" applyBorder="1"/>
    <xf numFmtId="0" fontId="0" fillId="4" borderId="2" xfId="0" applyFill="1" applyBorder="1"/>
    <xf numFmtId="0" fontId="0" fillId="4" borderId="33" xfId="0" applyFill="1" applyBorder="1"/>
    <xf numFmtId="0" fontId="0" fillId="0" borderId="0" xfId="0" applyAlignment="1">
      <alignment horizontal="left" vertical="center" indent="1"/>
    </xf>
    <xf numFmtId="3" fontId="0" fillId="0" borderId="0" xfId="0" applyNumberFormat="1"/>
    <xf numFmtId="3" fontId="0" fillId="0" borderId="5" xfId="0" applyNumberFormat="1" applyBorder="1" applyAlignment="1">
      <alignment vertical="center" wrapText="1"/>
    </xf>
    <xf numFmtId="3" fontId="0" fillId="0" borderId="8" xfId="0" applyNumberFormat="1" applyBorder="1" applyAlignment="1">
      <alignment vertical="center" wrapText="1"/>
    </xf>
    <xf numFmtId="3" fontId="0" fillId="4" borderId="28" xfId="0" applyNumberFormat="1" applyFill="1" applyBorder="1" applyAlignment="1">
      <alignment vertical="center" wrapText="1"/>
    </xf>
    <xf numFmtId="3" fontId="0" fillId="0" borderId="28" xfId="0" applyNumberFormat="1" applyBorder="1" applyAlignment="1">
      <alignment vertical="center" wrapText="1"/>
    </xf>
    <xf numFmtId="0" fontId="0" fillId="0" borderId="34" xfId="0" applyBorder="1" applyAlignment="1">
      <alignment vertical="center" wrapText="1"/>
    </xf>
    <xf numFmtId="0" fontId="0" fillId="0" borderId="35" xfId="0" applyBorder="1" applyAlignment="1">
      <alignment vertical="center" wrapText="1"/>
    </xf>
    <xf numFmtId="3" fontId="0" fillId="0" borderId="36" xfId="0" applyNumberFormat="1" applyBorder="1" applyAlignment="1">
      <alignment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4" borderId="27" xfId="0" applyFill="1" applyBorder="1" applyAlignment="1">
      <alignment horizontal="center" vertical="center" wrapText="1"/>
    </xf>
    <xf numFmtId="0" fontId="0" fillId="0" borderId="27" xfId="0" applyBorder="1" applyAlignment="1">
      <alignment horizontal="center" vertical="center" wrapText="1"/>
    </xf>
    <xf numFmtId="0" fontId="0" fillId="0" borderId="35" xfId="0" applyBorder="1" applyAlignment="1">
      <alignment horizontal="center" vertical="center" wrapText="1"/>
    </xf>
    <xf numFmtId="0" fontId="9"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3" fontId="0" fillId="0" borderId="5" xfId="0" applyNumberFormat="1" applyBorder="1" applyAlignment="1">
      <alignment horizontal="center" vertical="center" wrapText="1"/>
    </xf>
    <xf numFmtId="3" fontId="0" fillId="0" borderId="8" xfId="0" applyNumberFormat="1" applyBorder="1" applyAlignment="1">
      <alignment horizontal="center" vertical="center" wrapText="1"/>
    </xf>
    <xf numFmtId="3" fontId="0" fillId="0" borderId="37" xfId="0" applyNumberFormat="1" applyBorder="1" applyAlignment="1">
      <alignment horizontal="center" vertical="center" wrapText="1"/>
    </xf>
    <xf numFmtId="0" fontId="1" fillId="6" borderId="7" xfId="0" applyFont="1" applyFill="1" applyBorder="1" applyAlignment="1">
      <alignment horizontal="center" vertical="center" wrapText="1"/>
    </xf>
    <xf numFmtId="166" fontId="0" fillId="0" borderId="0" xfId="0" applyNumberFormat="1"/>
    <xf numFmtId="166" fontId="0" fillId="0" borderId="8" xfId="0" applyNumberFormat="1" applyBorder="1"/>
    <xf numFmtId="3" fontId="0" fillId="0" borderId="3" xfId="0" applyNumberFormat="1" applyBorder="1"/>
    <xf numFmtId="3" fontId="0" fillId="0" borderId="5" xfId="0" applyNumberFormat="1" applyBorder="1"/>
    <xf numFmtId="10" fontId="0" fillId="0" borderId="5" xfId="0" applyNumberFormat="1" applyBorder="1"/>
    <xf numFmtId="3" fontId="0" fillId="0" borderId="4" xfId="0" applyNumberFormat="1" applyBorder="1" applyAlignment="1">
      <alignment horizontal="center"/>
    </xf>
    <xf numFmtId="3" fontId="0" fillId="0" borderId="6" xfId="0" applyNumberFormat="1" applyBorder="1" applyAlignment="1">
      <alignment horizontal="center"/>
    </xf>
    <xf numFmtId="2" fontId="0" fillId="0" borderId="1" xfId="0" applyNumberFormat="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3" fontId="0" fillId="0" borderId="0" xfId="0" applyNumberFormat="1" applyAlignment="1">
      <alignment horizontal="center"/>
    </xf>
    <xf numFmtId="3" fontId="0" fillId="0" borderId="5" xfId="0" applyNumberFormat="1" applyBorder="1" applyAlignment="1">
      <alignment horizontal="center"/>
    </xf>
    <xf numFmtId="3" fontId="0" fillId="0" borderId="7" xfId="0" applyNumberFormat="1" applyBorder="1" applyAlignment="1">
      <alignment horizontal="center"/>
    </xf>
    <xf numFmtId="3" fontId="0" fillId="0" borderId="8" xfId="0" applyNumberFormat="1" applyBorder="1" applyAlignment="1">
      <alignment horizontal="center"/>
    </xf>
    <xf numFmtId="0" fontId="0" fillId="0" borderId="5" xfId="0" applyBorder="1" applyAlignment="1">
      <alignment vertical="center" textRotation="90"/>
    </xf>
    <xf numFmtId="8" fontId="0" fillId="0" borderId="0" xfId="0" applyNumberFormat="1"/>
    <xf numFmtId="0" fontId="10" fillId="7" borderId="5" xfId="2" applyBorder="1" applyAlignment="1">
      <alignment horizontal="center"/>
    </xf>
    <xf numFmtId="0" fontId="1" fillId="0" borderId="8"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14" fontId="0" fillId="0" borderId="5" xfId="0" applyNumberFormat="1" applyBorder="1" applyAlignment="1">
      <alignment horizontal="center"/>
    </xf>
    <xf numFmtId="22" fontId="0" fillId="0" borderId="5" xfId="0" applyNumberFormat="1" applyBorder="1" applyAlignment="1">
      <alignment horizontal="center"/>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 fillId="0" borderId="18" xfId="0" applyFont="1" applyBorder="1" applyAlignment="1">
      <alignment horizontal="left"/>
    </xf>
    <xf numFmtId="0" fontId="1" fillId="9" borderId="18" xfId="0" applyFont="1" applyFill="1" applyBorder="1" applyAlignment="1">
      <alignment horizontal="center"/>
    </xf>
    <xf numFmtId="0" fontId="1" fillId="9" borderId="0" xfId="0" applyFont="1" applyFill="1" applyAlignment="1">
      <alignment horizontal="center"/>
    </xf>
    <xf numFmtId="0" fontId="1" fillId="9" borderId="19" xfId="0" applyFont="1" applyFill="1" applyBorder="1" applyAlignment="1">
      <alignment horizontal="center"/>
    </xf>
    <xf numFmtId="0" fontId="4" fillId="0" borderId="2" xfId="0" applyFont="1" applyBorder="1" applyAlignment="1">
      <alignment horizontal="center"/>
    </xf>
    <xf numFmtId="0" fontId="0" fillId="0" borderId="7" xfId="0" applyBorder="1" applyAlignment="1">
      <alignment horizontal="center"/>
    </xf>
    <xf numFmtId="14" fontId="4" fillId="0" borderId="7" xfId="0" applyNumberFormat="1" applyFont="1" applyBorder="1" applyAlignment="1">
      <alignment horizontal="center"/>
    </xf>
    <xf numFmtId="0" fontId="3" fillId="0" borderId="7" xfId="1" applyNumberFormat="1" applyFill="1" applyBorder="1" applyAlignment="1">
      <alignment horizontal="center"/>
    </xf>
    <xf numFmtId="0" fontId="0" fillId="0" borderId="18" xfId="0" applyBorder="1"/>
    <xf numFmtId="0" fontId="0" fillId="0" borderId="19" xfId="0" applyBorder="1"/>
    <xf numFmtId="0" fontId="4" fillId="0" borderId="0" xfId="0" applyFont="1" applyAlignment="1">
      <alignment horizontal="left"/>
    </xf>
    <xf numFmtId="0" fontId="11" fillId="0" borderId="0" xfId="0" applyFont="1"/>
    <xf numFmtId="0" fontId="12" fillId="0" borderId="0" xfId="0" applyFont="1"/>
    <xf numFmtId="168" fontId="0" fillId="0" borderId="0" xfId="0" applyNumberFormat="1" applyAlignment="1">
      <alignment vertical="center" wrapText="1"/>
    </xf>
    <xf numFmtId="168" fontId="0" fillId="0" borderId="7" xfId="0" applyNumberFormat="1" applyBorder="1" applyAlignment="1">
      <alignment vertical="center" wrapText="1"/>
    </xf>
    <xf numFmtId="168" fontId="0" fillId="0" borderId="5" xfId="0" applyNumberFormat="1" applyBorder="1" applyAlignment="1">
      <alignment vertical="center" wrapText="1"/>
    </xf>
    <xf numFmtId="168" fontId="0" fillId="0" borderId="8" xfId="0" applyNumberFormat="1" applyBorder="1" applyAlignment="1">
      <alignment vertical="center" wrapText="1"/>
    </xf>
    <xf numFmtId="0" fontId="11" fillId="0" borderId="0" xfId="0" applyFont="1" applyAlignment="1">
      <alignment horizontal="left"/>
    </xf>
    <xf numFmtId="0" fontId="7" fillId="5" borderId="38" xfId="0" applyFont="1" applyFill="1" applyBorder="1" applyAlignment="1">
      <alignment horizontal="left" vertical="center" wrapText="1"/>
    </xf>
    <xf numFmtId="0" fontId="7" fillId="5" borderId="27" xfId="0" applyFont="1" applyFill="1" applyBorder="1" applyAlignment="1">
      <alignment horizontal="left" vertical="center" wrapText="1"/>
    </xf>
    <xf numFmtId="0" fontId="7" fillId="5" borderId="39" xfId="0" applyFont="1" applyFill="1" applyBorder="1" applyAlignment="1">
      <alignment horizontal="left" vertical="center" wrapText="1"/>
    </xf>
    <xf numFmtId="0" fontId="0" fillId="4" borderId="38" xfId="0" applyFill="1" applyBorder="1" applyAlignment="1">
      <alignment horizontal="left" vertical="center" wrapText="1"/>
    </xf>
    <xf numFmtId="0" fontId="0" fillId="0" borderId="38" xfId="0" applyBorder="1" applyAlignment="1">
      <alignment horizontal="left" vertical="center" wrapText="1"/>
    </xf>
    <xf numFmtId="0" fontId="0" fillId="0" borderId="29" xfId="0" applyBorder="1" applyAlignment="1">
      <alignment horizontal="left" vertical="center" wrapText="1"/>
    </xf>
    <xf numFmtId="0" fontId="0" fillId="0" borderId="0" xfId="0" pivotButton="1"/>
    <xf numFmtId="0" fontId="1" fillId="10" borderId="1" xfId="0" applyFont="1" applyFill="1" applyBorder="1" applyAlignment="1">
      <alignment horizontal="center" vertical="center" wrapText="1"/>
    </xf>
    <xf numFmtId="167" fontId="1" fillId="10" borderId="2" xfId="0" applyNumberFormat="1" applyFont="1" applyFill="1" applyBorder="1" applyAlignment="1">
      <alignment horizontal="center" vertical="center" wrapText="1"/>
    </xf>
    <xf numFmtId="167" fontId="1" fillId="10" borderId="3" xfId="0" applyNumberFormat="1" applyFont="1" applyFill="1" applyBorder="1" applyAlignment="1">
      <alignment horizontal="center" vertical="center" wrapText="1"/>
    </xf>
    <xf numFmtId="0" fontId="1" fillId="0" borderId="0" xfId="0" applyFont="1"/>
    <xf numFmtId="169" fontId="0" fillId="4" borderId="27" xfId="0" applyNumberFormat="1" applyFill="1" applyBorder="1" applyAlignment="1">
      <alignment horizontal="left" vertical="center" wrapText="1"/>
    </xf>
    <xf numFmtId="166" fontId="0" fillId="4" borderId="39" xfId="0" applyNumberFormat="1" applyFill="1" applyBorder="1" applyAlignment="1">
      <alignment horizontal="left" vertical="center" wrapText="1"/>
    </xf>
    <xf numFmtId="169" fontId="0" fillId="0" borderId="27" xfId="0" applyNumberFormat="1" applyBorder="1" applyAlignment="1">
      <alignment horizontal="left" vertical="center" wrapText="1"/>
    </xf>
    <xf numFmtId="166" fontId="0" fillId="0" borderId="39" xfId="0" applyNumberFormat="1" applyBorder="1" applyAlignment="1">
      <alignment horizontal="left" vertical="center" wrapText="1"/>
    </xf>
    <xf numFmtId="169" fontId="0" fillId="0" borderId="30" xfId="0" applyNumberFormat="1" applyBorder="1" applyAlignment="1">
      <alignment horizontal="left" vertical="center" wrapText="1"/>
    </xf>
    <xf numFmtId="166" fontId="0" fillId="0" borderId="31" xfId="0" applyNumberFormat="1" applyBorder="1" applyAlignment="1">
      <alignment horizontal="left" vertical="center" wrapText="1"/>
    </xf>
    <xf numFmtId="0" fontId="1" fillId="10" borderId="2" xfId="0" applyFont="1" applyFill="1" applyBorder="1" applyAlignment="1">
      <alignment horizontal="center" vertical="center" wrapText="1"/>
    </xf>
    <xf numFmtId="0" fontId="1" fillId="10" borderId="3" xfId="0" applyFont="1" applyFill="1" applyBorder="1" applyAlignment="1">
      <alignment horizontal="center" vertical="center" wrapText="1"/>
    </xf>
    <xf numFmtId="14" fontId="0" fillId="0" borderId="0" xfId="0" applyNumberFormat="1"/>
    <xf numFmtId="0" fontId="0" fillId="10" borderId="1" xfId="0" applyFill="1" applyBorder="1" applyAlignment="1">
      <alignment horizontal="center"/>
    </xf>
    <xf numFmtId="0" fontId="0" fillId="10" borderId="2" xfId="0" applyFill="1" applyBorder="1" applyAlignment="1">
      <alignment horizontal="center"/>
    </xf>
    <xf numFmtId="0" fontId="0" fillId="10" borderId="3" xfId="0" applyFill="1" applyBorder="1" applyAlignment="1">
      <alignment horizontal="center"/>
    </xf>
    <xf numFmtId="0" fontId="0" fillId="0" borderId="0" xfId="0" applyAlignment="1">
      <alignment horizontal="left" vertical="center" wrapText="1"/>
    </xf>
    <xf numFmtId="0" fontId="16" fillId="11" borderId="42" xfId="0" applyFont="1" applyFill="1" applyBorder="1" applyAlignment="1">
      <alignment horizontal="center" vertical="center" wrapText="1"/>
    </xf>
    <xf numFmtId="0" fontId="16" fillId="11" borderId="43" xfId="0" applyFont="1" applyFill="1" applyBorder="1" applyAlignment="1">
      <alignment horizontal="center" vertical="center" wrapText="1"/>
    </xf>
    <xf numFmtId="0" fontId="16" fillId="11" borderId="44" xfId="0" applyFont="1" applyFill="1" applyBorder="1" applyAlignment="1">
      <alignment horizontal="center" vertical="center" wrapText="1"/>
    </xf>
    <xf numFmtId="0" fontId="16" fillId="11" borderId="45" xfId="0" applyFont="1" applyFill="1" applyBorder="1" applyAlignment="1">
      <alignment horizontal="center" vertical="center" wrapText="1"/>
    </xf>
    <xf numFmtId="164" fontId="0" fillId="0" borderId="4" xfId="0" applyNumberFormat="1" applyBorder="1" applyAlignment="1">
      <alignment horizontal="center"/>
    </xf>
    <xf numFmtId="164" fontId="0" fillId="0" borderId="6" xfId="0" applyNumberFormat="1" applyBorder="1" applyAlignment="1">
      <alignment horizontal="center"/>
    </xf>
    <xf numFmtId="8" fontId="0" fillId="0" borderId="0" xfId="0" applyNumberFormat="1" applyAlignment="1">
      <alignment vertical="center" wrapText="1"/>
    </xf>
    <xf numFmtId="8" fontId="0" fillId="0" borderId="7" xfId="0" applyNumberFormat="1" applyBorder="1" applyAlignment="1">
      <alignment vertical="center" wrapText="1"/>
    </xf>
    <xf numFmtId="8" fontId="0" fillId="0" borderId="8" xfId="0" applyNumberFormat="1" applyBorder="1" applyAlignment="1">
      <alignment vertical="center" wrapText="1"/>
    </xf>
    <xf numFmtId="0" fontId="0" fillId="0" borderId="6" xfId="0" applyBorder="1" applyAlignment="1">
      <alignment horizontal="left" vertical="center" wrapText="1"/>
    </xf>
    <xf numFmtId="8" fontId="1" fillId="0" borderId="0" xfId="0" applyNumberFormat="1" applyFont="1" applyAlignment="1">
      <alignment vertical="center" wrapText="1"/>
    </xf>
    <xf numFmtId="8" fontId="0" fillId="0" borderId="5" xfId="0" applyNumberFormat="1" applyBorder="1"/>
    <xf numFmtId="8" fontId="0" fillId="0" borderId="5" xfId="0" applyNumberFormat="1" applyBorder="1" applyAlignment="1">
      <alignment horizontal="right" vertical="center" wrapText="1"/>
    </xf>
    <xf numFmtId="8" fontId="0" fillId="0" borderId="5" xfId="0" applyNumberFormat="1" applyBorder="1" applyAlignment="1">
      <alignment vertical="center" wrapText="1"/>
    </xf>
    <xf numFmtId="0" fontId="12" fillId="0" borderId="0" xfId="0" applyFont="1" applyAlignment="1">
      <alignment horizontal="center"/>
    </xf>
    <xf numFmtId="0" fontId="1" fillId="0" borderId="0" xfId="0" applyFont="1" applyAlignment="1">
      <alignment horizontal="center" vertical="center"/>
    </xf>
    <xf numFmtId="0" fontId="1" fillId="0" borderId="3" xfId="0" applyFont="1" applyBorder="1" applyAlignment="1">
      <alignment horizontal="center"/>
    </xf>
    <xf numFmtId="0" fontId="1" fillId="0" borderId="0" xfId="0" applyFont="1" applyAlignment="1">
      <alignment horizontal="left" vertical="center"/>
    </xf>
    <xf numFmtId="170" fontId="20" fillId="0" borderId="1" xfId="5" applyNumberFormat="1" applyFont="1" applyBorder="1" applyAlignment="1">
      <alignment horizontal="center"/>
    </xf>
    <xf numFmtId="0" fontId="20" fillId="0" borderId="2" xfId="5" applyFont="1" applyBorder="1"/>
    <xf numFmtId="0" fontId="20" fillId="0" borderId="2" xfId="5" applyFont="1" applyBorder="1" applyAlignment="1">
      <alignment horizontal="center"/>
    </xf>
    <xf numFmtId="172" fontId="20" fillId="0" borderId="3" xfId="6" applyNumberFormat="1" applyFont="1" applyBorder="1" applyAlignment="1">
      <alignment horizontal="center"/>
    </xf>
    <xf numFmtId="173" fontId="21" fillId="0" borderId="4" xfId="5" applyNumberFormat="1" applyFont="1" applyBorder="1" applyAlignment="1">
      <alignment horizontal="center"/>
    </xf>
    <xf numFmtId="0" fontId="21" fillId="0" borderId="0" xfId="5" applyFont="1"/>
    <xf numFmtId="172" fontId="21" fillId="0" borderId="5" xfId="6" applyNumberFormat="1" applyFont="1" applyBorder="1"/>
    <xf numFmtId="0" fontId="20" fillId="0" borderId="0" xfId="5" applyFont="1"/>
    <xf numFmtId="172" fontId="20" fillId="0" borderId="5" xfId="6" applyNumberFormat="1" applyFont="1" applyBorder="1"/>
    <xf numFmtId="173" fontId="21" fillId="0" borderId="6" xfId="5" applyNumberFormat="1" applyFont="1" applyBorder="1" applyAlignment="1">
      <alignment horizontal="center"/>
    </xf>
    <xf numFmtId="0" fontId="21" fillId="0" borderId="7" xfId="5" applyFont="1" applyBorder="1"/>
    <xf numFmtId="172" fontId="21" fillId="0" borderId="8" xfId="6" applyNumberFormat="1" applyFont="1" applyBorder="1"/>
    <xf numFmtId="0" fontId="1" fillId="13" borderId="47" xfId="0" applyFont="1" applyFill="1" applyBorder="1" applyAlignment="1">
      <alignment horizontal="center"/>
    </xf>
    <xf numFmtId="0" fontId="1" fillId="14" borderId="47" xfId="0" applyFont="1" applyFill="1" applyBorder="1" applyAlignment="1">
      <alignment horizontal="center"/>
    </xf>
    <xf numFmtId="0" fontId="0" fillId="14" borderId="2" xfId="0" applyFill="1" applyBorder="1"/>
    <xf numFmtId="0" fontId="0" fillId="15" borderId="2" xfId="0" applyFill="1" applyBorder="1"/>
    <xf numFmtId="0" fontId="0" fillId="16" borderId="3" xfId="0" applyFill="1" applyBorder="1"/>
    <xf numFmtId="0" fontId="20" fillId="0" borderId="4" xfId="5" applyFont="1" applyBorder="1"/>
    <xf numFmtId="174" fontId="20" fillId="0" borderId="0" xfId="5" applyNumberFormat="1" applyFont="1" applyAlignment="1">
      <alignment horizontal="center"/>
    </xf>
    <xf numFmtId="175" fontId="20" fillId="0" borderId="0" xfId="5" applyNumberFormat="1" applyFont="1"/>
    <xf numFmtId="0" fontId="20" fillId="0" borderId="5" xfId="5" applyFont="1" applyBorder="1"/>
    <xf numFmtId="0" fontId="21" fillId="0" borderId="4" xfId="5" applyFont="1" applyBorder="1"/>
    <xf numFmtId="174" fontId="21" fillId="0" borderId="0" xfId="5" applyNumberFormat="1" applyFont="1" applyAlignment="1">
      <alignment horizontal="center"/>
    </xf>
    <xf numFmtId="175" fontId="3" fillId="0" borderId="0" xfId="7" applyNumberFormat="1" applyFont="1" applyFill="1" applyBorder="1"/>
    <xf numFmtId="0" fontId="21" fillId="0" borderId="5" xfId="5" applyFont="1" applyBorder="1"/>
    <xf numFmtId="0" fontId="21" fillId="0" borderId="6" xfId="5" applyFont="1" applyBorder="1"/>
    <xf numFmtId="174" fontId="21" fillId="0" borderId="7" xfId="5" applyNumberFormat="1" applyFont="1" applyBorder="1" applyAlignment="1">
      <alignment horizontal="center"/>
    </xf>
    <xf numFmtId="175" fontId="3" fillId="0" borderId="7" xfId="7" applyNumberFormat="1" applyFont="1" applyFill="1" applyBorder="1"/>
    <xf numFmtId="0" fontId="21" fillId="0" borderId="8" xfId="5" applyFont="1" applyBorder="1"/>
    <xf numFmtId="0" fontId="23" fillId="0" borderId="48" xfId="8" applyFont="1" applyBorder="1" applyAlignment="1">
      <alignment wrapText="1"/>
    </xf>
    <xf numFmtId="0" fontId="23" fillId="0" borderId="49" xfId="8" applyFont="1" applyBorder="1" applyAlignment="1">
      <alignment wrapText="1"/>
    </xf>
    <xf numFmtId="0" fontId="23" fillId="0" borderId="50" xfId="8" applyFont="1" applyBorder="1" applyAlignment="1">
      <alignment wrapText="1"/>
    </xf>
    <xf numFmtId="1" fontId="23" fillId="0" borderId="49" xfId="8" applyNumberFormat="1" applyFont="1" applyBorder="1" applyAlignment="1">
      <alignment horizontal="center" wrapText="1"/>
    </xf>
    <xf numFmtId="1" fontId="23" fillId="0" borderId="48" xfId="8" applyNumberFormat="1" applyFont="1" applyBorder="1" applyAlignment="1">
      <alignment horizontal="center" wrapText="1"/>
    </xf>
    <xf numFmtId="1" fontId="23" fillId="0" borderId="50" xfId="8" applyNumberFormat="1" applyFont="1" applyBorder="1" applyAlignment="1">
      <alignment horizontal="center" wrapText="1"/>
    </xf>
    <xf numFmtId="177" fontId="24" fillId="17" borderId="0" xfId="0" applyNumberFormat="1" applyFont="1" applyFill="1" applyAlignment="1">
      <alignment horizontal="left" vertical="center"/>
    </xf>
    <xf numFmtId="178" fontId="24" fillId="17" borderId="0" xfId="0" applyNumberFormat="1" applyFont="1" applyFill="1" applyAlignment="1">
      <alignment horizontal="left" vertical="center"/>
    </xf>
    <xf numFmtId="179" fontId="24" fillId="17" borderId="0" xfId="0" applyNumberFormat="1" applyFont="1" applyFill="1" applyAlignment="1">
      <alignment horizontal="left" vertical="center"/>
    </xf>
    <xf numFmtId="180" fontId="24" fillId="17" borderId="0" xfId="0" applyNumberFormat="1" applyFont="1" applyFill="1" applyAlignment="1">
      <alignment horizontal="left" vertical="center"/>
    </xf>
    <xf numFmtId="181" fontId="24" fillId="17" borderId="0" xfId="0" applyNumberFormat="1" applyFont="1" applyFill="1" applyAlignment="1">
      <alignment horizontal="left" vertical="center"/>
    </xf>
    <xf numFmtId="0" fontId="25" fillId="17" borderId="0" xfId="0" applyFont="1" applyFill="1"/>
    <xf numFmtId="175" fontId="26" fillId="0" borderId="0" xfId="0" applyNumberFormat="1" applyFont="1"/>
    <xf numFmtId="175" fontId="0" fillId="0" borderId="0" xfId="0" applyNumberFormat="1"/>
    <xf numFmtId="0" fontId="0" fillId="0" borderId="47" xfId="4" applyFont="1" applyFill="1" applyBorder="1" applyAlignment="1">
      <alignment horizontal="right"/>
    </xf>
    <xf numFmtId="0" fontId="20" fillId="0" borderId="51" xfId="9" applyFont="1" applyBorder="1" applyAlignment="1">
      <alignment horizontal="left"/>
    </xf>
    <xf numFmtId="0" fontId="20" fillId="0" borderId="52" xfId="9" applyFont="1" applyBorder="1" applyAlignment="1">
      <alignment horizontal="left"/>
    </xf>
    <xf numFmtId="0" fontId="20" fillId="0" borderId="52" xfId="9" applyFont="1" applyBorder="1" applyAlignment="1">
      <alignment horizontal="center"/>
    </xf>
    <xf numFmtId="0" fontId="20" fillId="0" borderId="53" xfId="9" applyFont="1" applyBorder="1" applyAlignment="1">
      <alignment horizontal="center"/>
    </xf>
    <xf numFmtId="0" fontId="21" fillId="0" borderId="4" xfId="9" applyFont="1" applyBorder="1"/>
    <xf numFmtId="0" fontId="21" fillId="0" borderId="0" xfId="9" applyFont="1"/>
    <xf numFmtId="175" fontId="21" fillId="0" borderId="0" xfId="3" applyNumberFormat="1" applyFont="1" applyBorder="1"/>
    <xf numFmtId="175" fontId="20" fillId="0" borderId="5" xfId="3" applyNumberFormat="1" applyFont="1" applyBorder="1"/>
    <xf numFmtId="0" fontId="21" fillId="0" borderId="6" xfId="9" applyFont="1" applyBorder="1"/>
    <xf numFmtId="0" fontId="21" fillId="0" borderId="7" xfId="9" applyFont="1" applyBorder="1"/>
    <xf numFmtId="175" fontId="21" fillId="0" borderId="7" xfId="3" applyNumberFormat="1" applyFont="1" applyBorder="1"/>
    <xf numFmtId="175" fontId="20" fillId="0" borderId="8" xfId="3" applyNumberFormat="1" applyFont="1" applyBorder="1"/>
    <xf numFmtId="0" fontId="1" fillId="0" borderId="2" xfId="0" applyFont="1" applyBorder="1" applyAlignment="1">
      <alignment horizontal="center"/>
    </xf>
    <xf numFmtId="0" fontId="1" fillId="17" borderId="4" xfId="0" applyFont="1" applyFill="1" applyBorder="1"/>
    <xf numFmtId="0" fontId="0" fillId="17" borderId="0" xfId="0" applyFill="1" applyAlignment="1">
      <alignment horizontal="center"/>
    </xf>
    <xf numFmtId="0" fontId="0" fillId="17" borderId="5" xfId="0" applyFill="1" applyBorder="1" applyAlignment="1">
      <alignment horizontal="center"/>
    </xf>
    <xf numFmtId="175" fontId="0" fillId="0" borderId="0" xfId="0" applyNumberFormat="1" applyAlignment="1">
      <alignment horizontal="center"/>
    </xf>
    <xf numFmtId="175" fontId="1" fillId="0" borderId="5" xfId="0" applyNumberFormat="1" applyFont="1" applyBorder="1" applyAlignment="1">
      <alignment horizontal="center"/>
    </xf>
    <xf numFmtId="175" fontId="0" fillId="0" borderId="7" xfId="0" applyNumberFormat="1" applyBorder="1" applyAlignment="1">
      <alignment horizontal="center"/>
    </xf>
    <xf numFmtId="175" fontId="1" fillId="0" borderId="8" xfId="0" applyNumberFormat="1" applyFont="1" applyBorder="1" applyAlignment="1">
      <alignment horizontal="center"/>
    </xf>
    <xf numFmtId="0" fontId="2" fillId="8" borderId="4" xfId="0" applyFont="1" applyFill="1" applyBorder="1" applyAlignment="1">
      <alignment horizontal="center"/>
    </xf>
    <xf numFmtId="0" fontId="2" fillId="8" borderId="5" xfId="0" applyFont="1" applyFill="1" applyBorder="1" applyAlignment="1">
      <alignment horizontal="center"/>
    </xf>
    <xf numFmtId="14" fontId="4" fillId="0" borderId="0" xfId="0" applyNumberFormat="1" applyFont="1" applyAlignment="1">
      <alignment horizontal="left"/>
    </xf>
    <xf numFmtId="0" fontId="0" fillId="0" borderId="4" xfId="0" applyBorder="1" applyAlignment="1">
      <alignment horizontal="left" vertical="center" wrapText="1"/>
    </xf>
    <xf numFmtId="14" fontId="0" fillId="0" borderId="0" xfId="0" applyNumberFormat="1" applyAlignment="1">
      <alignment horizontal="left" vertical="center" wrapText="1"/>
    </xf>
    <xf numFmtId="4" fontId="0" fillId="0" borderId="0" xfId="0" applyNumberFormat="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14" fontId="0" fillId="0" borderId="7" xfId="0" applyNumberFormat="1" applyBorder="1" applyAlignment="1">
      <alignment horizontal="left" vertical="center" wrapText="1"/>
    </xf>
    <xf numFmtId="4" fontId="0" fillId="0" borderId="7" xfId="0" applyNumberFormat="1" applyBorder="1" applyAlignment="1">
      <alignment horizontal="left" vertical="center" wrapText="1"/>
    </xf>
    <xf numFmtId="0" fontId="0" fillId="0" borderId="8" xfId="0" applyBorder="1" applyAlignment="1">
      <alignment horizontal="left" vertical="center" wrapText="1"/>
    </xf>
    <xf numFmtId="0" fontId="1" fillId="0" borderId="0" xfId="0" applyFont="1" applyAlignment="1">
      <alignment horizontal="left" vertical="center" wrapText="1"/>
    </xf>
    <xf numFmtId="1" fontId="0" fillId="0" borderId="18" xfId="0" applyNumberFormat="1" applyBorder="1" applyAlignment="1">
      <alignment horizontal="left" vertical="center" wrapText="1"/>
    </xf>
    <xf numFmtId="1" fontId="0" fillId="0" borderId="19" xfId="0" applyNumberFormat="1" applyBorder="1" applyAlignment="1">
      <alignment horizontal="left"/>
    </xf>
    <xf numFmtId="1" fontId="0" fillId="0" borderId="20" xfId="0" applyNumberFormat="1" applyBorder="1" applyAlignment="1">
      <alignment horizontal="left" vertical="center" wrapText="1"/>
    </xf>
    <xf numFmtId="0" fontId="0" fillId="0" borderId="21" xfId="0" applyBorder="1" applyAlignment="1">
      <alignment horizontal="left"/>
    </xf>
    <xf numFmtId="2" fontId="0" fillId="0" borderId="21" xfId="0" applyNumberFormat="1" applyBorder="1" applyAlignment="1">
      <alignment horizontal="left"/>
    </xf>
    <xf numFmtId="1" fontId="0" fillId="0" borderId="22" xfId="0" applyNumberFormat="1" applyBorder="1" applyAlignment="1">
      <alignment horizontal="left"/>
    </xf>
    <xf numFmtId="0" fontId="1" fillId="8" borderId="51" xfId="0" applyFont="1" applyFill="1" applyBorder="1" applyAlignment="1">
      <alignment horizontal="left" vertical="center" wrapText="1"/>
    </xf>
    <xf numFmtId="0" fontId="1" fillId="8" borderId="52" xfId="0" applyFont="1" applyFill="1" applyBorder="1" applyAlignment="1">
      <alignment horizontal="left" vertical="center" wrapText="1"/>
    </xf>
    <xf numFmtId="0" fontId="1" fillId="8" borderId="53" xfId="0" applyFont="1" applyFill="1" applyBorder="1" applyAlignment="1">
      <alignment horizontal="left" vertical="center" wrapText="1"/>
    </xf>
    <xf numFmtId="0" fontId="27" fillId="0" borderId="59" xfId="0" applyFont="1" applyBorder="1"/>
    <xf numFmtId="0" fontId="27" fillId="0" borderId="59" xfId="0" applyFont="1" applyBorder="1" applyAlignment="1">
      <alignment horizontal="center"/>
    </xf>
    <xf numFmtId="0" fontId="7" fillId="18" borderId="57" xfId="10" applyAlignment="1">
      <alignment horizontal="center"/>
    </xf>
    <xf numFmtId="0" fontId="0" fillId="0" borderId="59" xfId="0" applyBorder="1" applyAlignment="1">
      <alignment horizontal="center"/>
    </xf>
    <xf numFmtId="0" fontId="28" fillId="0" borderId="0" xfId="0" applyFont="1" applyAlignment="1">
      <alignment horizontal="center"/>
    </xf>
    <xf numFmtId="0" fontId="0" fillId="8" borderId="59" xfId="0" applyFill="1" applyBorder="1" applyAlignment="1">
      <alignment horizontal="center"/>
    </xf>
    <xf numFmtId="14" fontId="27" fillId="0" borderId="59" xfId="0" applyNumberFormat="1" applyFont="1" applyBorder="1" applyAlignment="1">
      <alignment horizontal="center"/>
    </xf>
    <xf numFmtId="2" fontId="27" fillId="0" borderId="59" xfId="0" applyNumberFormat="1" applyFont="1" applyBorder="1" applyAlignment="1">
      <alignment horizontal="center"/>
    </xf>
    <xf numFmtId="9" fontId="1" fillId="13" borderId="0" xfId="0" applyNumberFormat="1" applyFont="1" applyFill="1" applyAlignment="1">
      <alignment horizontal="center"/>
    </xf>
    <xf numFmtId="2" fontId="27" fillId="8" borderId="59" xfId="0" applyNumberFormat="1" applyFont="1" applyFill="1" applyBorder="1" applyAlignment="1">
      <alignment horizontal="center"/>
    </xf>
    <xf numFmtId="9" fontId="27" fillId="14" borderId="24" xfId="0" applyNumberFormat="1" applyFont="1" applyFill="1" applyBorder="1" applyAlignment="1">
      <alignment horizontal="center" vertical="center"/>
    </xf>
    <xf numFmtId="0" fontId="29" fillId="0" borderId="0" xfId="0" applyFont="1" applyAlignment="1">
      <alignment horizontal="center"/>
    </xf>
    <xf numFmtId="0" fontId="27" fillId="8" borderId="59" xfId="0" applyFont="1" applyFill="1" applyBorder="1"/>
    <xf numFmtId="0" fontId="30" fillId="0" borderId="4" xfId="0" applyFont="1" applyBorder="1"/>
    <xf numFmtId="2" fontId="4" fillId="0" borderId="0" xfId="0" applyNumberFormat="1" applyFont="1" applyAlignment="1">
      <alignment horizontal="center"/>
    </xf>
    <xf numFmtId="0" fontId="4" fillId="0" borderId="8" xfId="0" applyFont="1" applyBorder="1" applyAlignment="1">
      <alignment horizontal="center"/>
    </xf>
    <xf numFmtId="0" fontId="4" fillId="0" borderId="53" xfId="0" applyFont="1" applyBorder="1" applyAlignment="1">
      <alignment horizontal="center"/>
    </xf>
    <xf numFmtId="0" fontId="0" fillId="0" borderId="12" xfId="0" applyBorder="1"/>
    <xf numFmtId="0" fontId="0" fillId="0" borderId="13" xfId="0" applyBorder="1"/>
    <xf numFmtId="0" fontId="0" fillId="0" borderId="14" xfId="0" applyBorder="1"/>
    <xf numFmtId="0" fontId="4" fillId="0" borderId="18" xfId="0" applyFont="1" applyBorder="1"/>
    <xf numFmtId="0" fontId="4" fillId="0" borderId="19" xfId="0" applyFont="1" applyBorder="1" applyAlignment="1">
      <alignment horizontal="center"/>
    </xf>
    <xf numFmtId="0" fontId="4" fillId="0" borderId="64" xfId="0" applyFont="1" applyBorder="1" applyAlignment="1">
      <alignment horizontal="center"/>
    </xf>
    <xf numFmtId="0" fontId="4" fillId="0" borderId="65" xfId="0" applyFont="1" applyBorder="1" applyAlignment="1">
      <alignment horizontal="center"/>
    </xf>
    <xf numFmtId="0" fontId="4" fillId="0" borderId="66" xfId="0" applyFont="1" applyBorder="1" applyAlignment="1">
      <alignment horizontal="center"/>
    </xf>
    <xf numFmtId="0" fontId="4" fillId="0" borderId="18" xfId="0" applyFont="1" applyBorder="1" applyAlignment="1">
      <alignment horizontal="center"/>
    </xf>
    <xf numFmtId="0" fontId="0" fillId="0" borderId="66" xfId="0" applyBorder="1" applyAlignment="1">
      <alignment horizontal="center"/>
    </xf>
    <xf numFmtId="14" fontId="0" fillId="0" borderId="21" xfId="0" applyNumberFormat="1" applyBorder="1" applyAlignment="1">
      <alignment horizontal="center"/>
    </xf>
    <xf numFmtId="0" fontId="1" fillId="8" borderId="0" xfId="0" applyFont="1" applyFill="1" applyAlignment="1">
      <alignment horizontal="center"/>
    </xf>
    <xf numFmtId="0" fontId="32" fillId="0" borderId="0" xfId="0" applyFont="1" applyAlignment="1">
      <alignment horizontal="center"/>
    </xf>
    <xf numFmtId="0" fontId="0" fillId="4" borderId="69" xfId="0" applyFill="1" applyBorder="1"/>
    <xf numFmtId="0" fontId="7" fillId="5" borderId="2" xfId="0" applyFont="1" applyFill="1" applyBorder="1"/>
    <xf numFmtId="0" fontId="7" fillId="5" borderId="71" xfId="0" applyFont="1" applyFill="1" applyBorder="1"/>
    <xf numFmtId="0" fontId="0" fillId="19" borderId="72" xfId="0" applyFill="1" applyBorder="1"/>
    <xf numFmtId="0" fontId="0" fillId="19" borderId="58" xfId="0" applyFill="1" applyBorder="1"/>
    <xf numFmtId="0" fontId="0" fillId="4" borderId="73" xfId="0" applyFill="1" applyBorder="1"/>
    <xf numFmtId="0" fontId="0" fillId="19" borderId="73" xfId="0" applyFill="1" applyBorder="1"/>
    <xf numFmtId="0" fontId="0" fillId="19" borderId="69" xfId="0" applyFill="1" applyBorder="1"/>
    <xf numFmtId="0" fontId="34" fillId="0" borderId="0" xfId="0" applyFont="1" applyAlignment="1">
      <alignment horizontal="center"/>
    </xf>
    <xf numFmtId="0" fontId="35" fillId="0" borderId="0" xfId="0" applyFont="1" applyAlignment="1">
      <alignment horizontal="center"/>
    </xf>
    <xf numFmtId="0" fontId="36" fillId="0" borderId="0" xfId="0" applyFont="1"/>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 fillId="8" borderId="74" xfId="0" applyFont="1" applyFill="1" applyBorder="1" applyAlignment="1">
      <alignment horizontal="center" vertical="center" wrapText="1"/>
    </xf>
    <xf numFmtId="0" fontId="33" fillId="0" borderId="0" xfId="0" applyFont="1" applyAlignment="1">
      <alignment horizontal="center"/>
    </xf>
    <xf numFmtId="9" fontId="0" fillId="0" borderId="5" xfId="0" applyNumberFormat="1" applyBorder="1" applyAlignment="1">
      <alignment horizontal="left" vertical="center" wrapText="1"/>
    </xf>
    <xf numFmtId="9" fontId="0" fillId="0" borderId="8" xfId="0" applyNumberFormat="1" applyBorder="1" applyAlignment="1">
      <alignment horizontal="left" vertical="center" wrapText="1"/>
    </xf>
    <xf numFmtId="165" fontId="0" fillId="0" borderId="0" xfId="0" applyNumberFormat="1" applyAlignment="1">
      <alignment horizontal="left" vertical="center" wrapText="1"/>
    </xf>
    <xf numFmtId="165" fontId="0" fillId="0" borderId="7" xfId="0" applyNumberFormat="1" applyBorder="1" applyAlignment="1">
      <alignment horizontal="left" vertical="center" wrapText="1"/>
    </xf>
    <xf numFmtId="0" fontId="1" fillId="8" borderId="15" xfId="0" applyFont="1" applyFill="1" applyBorder="1" applyAlignment="1">
      <alignment horizontal="left" vertical="center" wrapText="1"/>
    </xf>
    <xf numFmtId="0" fontId="1" fillId="8" borderId="16" xfId="0" applyFont="1" applyFill="1" applyBorder="1" applyAlignment="1">
      <alignment horizontal="left" vertical="center" wrapText="1"/>
    </xf>
    <xf numFmtId="0" fontId="1" fillId="8" borderId="17" xfId="0" applyFont="1" applyFill="1" applyBorder="1" applyAlignment="1">
      <alignment horizontal="left" vertical="center" wrapText="1"/>
    </xf>
    <xf numFmtId="0" fontId="17" fillId="0" borderId="0" xfId="0" applyFont="1" applyAlignment="1">
      <alignment horizontal="left"/>
    </xf>
    <xf numFmtId="0" fontId="0" fillId="0" borderId="0" xfId="0" applyAlignment="1">
      <alignment horizontal="left" vertical="center"/>
    </xf>
    <xf numFmtId="0" fontId="9" fillId="0" borderId="0" xfId="0" applyFont="1"/>
    <xf numFmtId="0" fontId="1" fillId="8" borderId="20" xfId="0" applyFont="1" applyFill="1" applyBorder="1" applyAlignment="1">
      <alignment horizontal="left" vertical="center" wrapText="1"/>
    </xf>
    <xf numFmtId="0" fontId="0" fillId="0" borderId="55" xfId="0" applyBorder="1" applyAlignment="1">
      <alignment horizontal="left" vertical="center" wrapText="1"/>
    </xf>
    <xf numFmtId="165" fontId="0" fillId="0" borderId="55" xfId="0" applyNumberFormat="1" applyBorder="1" applyAlignment="1">
      <alignment horizontal="left" vertical="center" wrapText="1"/>
    </xf>
    <xf numFmtId="0" fontId="1" fillId="8" borderId="78" xfId="0" applyFont="1" applyFill="1" applyBorder="1" applyAlignment="1">
      <alignment horizontal="left" vertical="center" wrapText="1"/>
    </xf>
    <xf numFmtId="0" fontId="0" fillId="0" borderId="79" xfId="0" applyBorder="1" applyAlignment="1">
      <alignment horizontal="left" vertical="center" wrapText="1"/>
    </xf>
    <xf numFmtId="0" fontId="0" fillId="0" borderId="80" xfId="0" applyBorder="1" applyAlignment="1">
      <alignment horizontal="left" vertical="center" wrapText="1"/>
    </xf>
    <xf numFmtId="0" fontId="1" fillId="8" borderId="62" xfId="0" applyFont="1" applyFill="1" applyBorder="1" applyAlignment="1">
      <alignment horizontal="left" vertical="center" wrapText="1"/>
    </xf>
    <xf numFmtId="0" fontId="0" fillId="0" borderId="63" xfId="0" applyBorder="1" applyAlignment="1">
      <alignment horizontal="left" vertical="center" wrapText="1"/>
    </xf>
    <xf numFmtId="165" fontId="0" fillId="0" borderId="63" xfId="0" applyNumberFormat="1" applyBorder="1" applyAlignment="1">
      <alignment horizontal="left" vertical="center" wrapText="1"/>
    </xf>
    <xf numFmtId="9" fontId="0" fillId="0" borderId="21" xfId="0" applyNumberFormat="1" applyBorder="1" applyAlignment="1">
      <alignment horizontal="left" vertical="center" wrapText="1"/>
    </xf>
    <xf numFmtId="9" fontId="0" fillId="0" borderId="22" xfId="0" applyNumberFormat="1" applyBorder="1" applyAlignment="1">
      <alignment horizontal="left"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1" fillId="8" borderId="12"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8" borderId="51" xfId="0" applyFont="1" applyFill="1" applyBorder="1" applyAlignment="1">
      <alignment horizontal="center" vertical="center" wrapText="1"/>
    </xf>
    <xf numFmtId="0" fontId="1" fillId="8" borderId="53" xfId="0" applyFont="1" applyFill="1" applyBorder="1" applyAlignment="1">
      <alignment horizontal="center" vertical="center" wrapText="1"/>
    </xf>
    <xf numFmtId="0" fontId="1" fillId="8" borderId="16" xfId="0" applyFont="1"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left" vertical="center" indent="1"/>
    </xf>
    <xf numFmtId="0" fontId="1" fillId="8" borderId="52" xfId="0" applyFont="1" applyFill="1" applyBorder="1" applyAlignment="1">
      <alignment horizontal="center" vertical="center" wrapText="1"/>
    </xf>
    <xf numFmtId="0" fontId="1" fillId="8" borderId="54" xfId="0" applyFont="1" applyFill="1" applyBorder="1" applyAlignment="1">
      <alignment horizontal="center" vertical="center" wrapText="1"/>
    </xf>
    <xf numFmtId="0" fontId="1" fillId="8" borderId="55" xfId="0" applyFont="1" applyFill="1" applyBorder="1" applyAlignment="1">
      <alignment horizontal="center" vertical="center" wrapText="1"/>
    </xf>
    <xf numFmtId="3" fontId="0" fillId="0" borderId="7" xfId="0" applyNumberFormat="1" applyBorder="1" applyAlignment="1">
      <alignment horizontal="center" vertical="center" wrapText="1"/>
    </xf>
    <xf numFmtId="14" fontId="0" fillId="0" borderId="0" xfId="0" applyNumberFormat="1" applyAlignment="1">
      <alignment vertical="center" wrapText="1"/>
    </xf>
    <xf numFmtId="0" fontId="3" fillId="0" borderId="4" xfId="5" applyFont="1" applyBorder="1" applyAlignment="1">
      <alignment horizontal="center"/>
    </xf>
    <xf numFmtId="0" fontId="3" fillId="0" borderId="0" xfId="5" applyFont="1" applyAlignment="1">
      <alignment horizontal="center"/>
    </xf>
    <xf numFmtId="0" fontId="3" fillId="0" borderId="5" xfId="5" applyFont="1" applyBorder="1" applyAlignment="1">
      <alignment horizontal="center"/>
    </xf>
    <xf numFmtId="0" fontId="3" fillId="0" borderId="6" xfId="5" applyFont="1" applyBorder="1" applyAlignment="1">
      <alignment horizontal="center"/>
    </xf>
    <xf numFmtId="0" fontId="3" fillId="0" borderId="7" xfId="5" applyFont="1" applyBorder="1" applyAlignment="1">
      <alignment horizontal="center"/>
    </xf>
    <xf numFmtId="0" fontId="3" fillId="0" borderId="8" xfId="5" applyFont="1" applyBorder="1" applyAlignment="1">
      <alignment horizontal="center"/>
    </xf>
    <xf numFmtId="0" fontId="37" fillId="0" borderId="0" xfId="0" applyFont="1"/>
    <xf numFmtId="0" fontId="37" fillId="0" borderId="0" xfId="5" applyFont="1" applyAlignment="1">
      <alignment horizontal="center"/>
    </xf>
    <xf numFmtId="0" fontId="13" fillId="20" borderId="15" xfId="0" applyFont="1" applyFill="1" applyBorder="1" applyAlignment="1">
      <alignment horizontal="center"/>
    </xf>
    <xf numFmtId="0" fontId="13" fillId="20" borderId="16" xfId="0" applyFont="1" applyFill="1" applyBorder="1" applyAlignment="1">
      <alignment horizontal="center"/>
    </xf>
    <xf numFmtId="0" fontId="13" fillId="20" borderId="17" xfId="0" applyFont="1" applyFill="1" applyBorder="1" applyAlignment="1">
      <alignment horizontal="center"/>
    </xf>
    <xf numFmtId="0" fontId="38" fillId="8" borderId="15" xfId="5" applyFont="1" applyFill="1" applyBorder="1" applyAlignment="1">
      <alignment horizontal="center"/>
    </xf>
    <xf numFmtId="0" fontId="38" fillId="8" borderId="16" xfId="5" applyFont="1" applyFill="1" applyBorder="1" applyAlignment="1">
      <alignment horizontal="center"/>
    </xf>
    <xf numFmtId="0" fontId="38" fillId="8" borderId="17" xfId="5" applyFont="1" applyFill="1" applyBorder="1" applyAlignment="1">
      <alignment horizontal="center"/>
    </xf>
    <xf numFmtId="0" fontId="38" fillId="10" borderId="0" xfId="0" applyFont="1" applyFill="1" applyAlignment="1">
      <alignment horizontal="center"/>
    </xf>
    <xf numFmtId="2" fontId="0" fillId="0" borderId="5" xfId="0" applyNumberFormat="1" applyBorder="1" applyAlignment="1">
      <alignment horizontal="center"/>
    </xf>
    <xf numFmtId="22" fontId="0" fillId="0" borderId="0" xfId="0" applyNumberFormat="1" applyAlignment="1">
      <alignment horizontal="center"/>
    </xf>
    <xf numFmtId="0" fontId="0" fillId="0" borderId="7" xfId="0" applyBorder="1" applyAlignment="1">
      <alignment horizontal="left"/>
    </xf>
    <xf numFmtId="0" fontId="28" fillId="8" borderId="0" xfId="5" applyFont="1" applyFill="1" applyAlignment="1">
      <alignment horizontal="center"/>
    </xf>
    <xf numFmtId="0" fontId="13" fillId="8" borderId="51" xfId="0" applyFont="1" applyFill="1" applyBorder="1" applyAlignment="1">
      <alignment horizontal="center" vertical="center" wrapText="1"/>
    </xf>
    <xf numFmtId="0" fontId="13" fillId="8" borderId="52" xfId="0" applyFont="1" applyFill="1" applyBorder="1" applyAlignment="1">
      <alignment horizontal="center" vertical="center" wrapText="1"/>
    </xf>
    <xf numFmtId="0" fontId="13" fillId="8" borderId="53" xfId="0" applyFont="1" applyFill="1" applyBorder="1" applyAlignment="1">
      <alignment horizontal="center" vertical="center" wrapText="1"/>
    </xf>
    <xf numFmtId="2" fontId="0" fillId="0" borderId="0" xfId="0" applyNumberFormat="1" applyAlignment="1">
      <alignment horizontal="left" vertical="center" wrapText="1"/>
    </xf>
    <xf numFmtId="0" fontId="1" fillId="16" borderId="4" xfId="0" applyFont="1" applyFill="1" applyBorder="1" applyAlignment="1">
      <alignment horizontal="center"/>
    </xf>
    <xf numFmtId="0" fontId="1" fillId="16" borderId="5" xfId="0" applyFont="1" applyFill="1" applyBorder="1" applyAlignment="1">
      <alignment horizontal="center"/>
    </xf>
    <xf numFmtId="9" fontId="0" fillId="0" borderId="0" xfId="0" applyNumberFormat="1" applyAlignment="1">
      <alignment horizontal="center" vertical="center" wrapText="1"/>
    </xf>
    <xf numFmtId="0" fontId="1" fillId="16" borderId="0" xfId="0" applyFont="1" applyFill="1" applyAlignment="1">
      <alignment horizontal="center" vertical="center" wrapText="1"/>
    </xf>
    <xf numFmtId="9" fontId="0" fillId="0" borderId="7" xfId="0" applyNumberFormat="1" applyBorder="1" applyAlignment="1">
      <alignment horizontal="center" vertical="center" wrapText="1"/>
    </xf>
    <xf numFmtId="182" fontId="0" fillId="0" borderId="4" xfId="0" applyNumberFormat="1" applyBorder="1" applyAlignment="1">
      <alignment horizontal="center"/>
    </xf>
    <xf numFmtId="182" fontId="0" fillId="0" borderId="0" xfId="0" applyNumberFormat="1" applyAlignment="1">
      <alignment horizontal="center"/>
    </xf>
    <xf numFmtId="182" fontId="0" fillId="0" borderId="5" xfId="0" applyNumberFormat="1" applyBorder="1" applyAlignment="1">
      <alignment horizontal="center"/>
    </xf>
    <xf numFmtId="182" fontId="0" fillId="8" borderId="0" xfId="0" applyNumberFormat="1" applyFill="1" applyAlignment="1">
      <alignment horizontal="center"/>
    </xf>
    <xf numFmtId="44" fontId="0" fillId="0" borderId="6" xfId="3" applyFont="1" applyBorder="1" applyAlignment="1">
      <alignment horizontal="center" vertical="center" wrapText="1"/>
    </xf>
    <xf numFmtId="44" fontId="0" fillId="0" borderId="8" xfId="3" applyFont="1" applyBorder="1" applyAlignment="1">
      <alignment horizontal="center"/>
    </xf>
    <xf numFmtId="44" fontId="0" fillId="0" borderId="7" xfId="3" applyFont="1" applyBorder="1" applyAlignment="1">
      <alignment horizontal="left" vertical="center" wrapText="1"/>
    </xf>
    <xf numFmtId="16" fontId="0" fillId="0" borderId="0" xfId="0" applyNumberFormat="1" applyAlignment="1">
      <alignment horizontal="center"/>
    </xf>
    <xf numFmtId="182" fontId="0" fillId="0" borderId="6" xfId="0" applyNumberFormat="1" applyBorder="1" applyAlignment="1">
      <alignment horizontal="center"/>
    </xf>
    <xf numFmtId="182" fontId="0" fillId="0" borderId="7" xfId="0" applyNumberFormat="1" applyBorder="1" applyAlignment="1">
      <alignment horizontal="center"/>
    </xf>
    <xf numFmtId="182" fontId="0" fillId="0" borderId="8" xfId="0" applyNumberFormat="1" applyBorder="1" applyAlignment="1">
      <alignment horizontal="center"/>
    </xf>
    <xf numFmtId="14" fontId="0" fillId="0" borderId="0" xfId="0" applyNumberFormat="1" applyAlignment="1">
      <alignment horizontal="center"/>
    </xf>
    <xf numFmtId="0" fontId="1" fillId="21" borderId="51" xfId="0" applyFont="1" applyFill="1" applyBorder="1" applyAlignment="1">
      <alignment horizontal="center" vertical="center" wrapText="1"/>
    </xf>
    <xf numFmtId="0" fontId="1" fillId="21" borderId="52" xfId="0" applyFont="1" applyFill="1" applyBorder="1" applyAlignment="1">
      <alignment horizontal="center" vertical="center" wrapText="1"/>
    </xf>
    <xf numFmtId="0" fontId="1" fillId="21" borderId="53" xfId="0" applyFont="1" applyFill="1" applyBorder="1" applyAlignment="1">
      <alignment horizontal="center" vertical="center" wrapText="1"/>
    </xf>
    <xf numFmtId="0" fontId="33" fillId="0" borderId="0" xfId="0" applyFont="1" applyAlignment="1">
      <alignment vertical="center"/>
    </xf>
    <xf numFmtId="0" fontId="0" fillId="0" borderId="51" xfId="0" applyBorder="1" applyAlignment="1">
      <alignment horizontal="center"/>
    </xf>
    <xf numFmtId="0" fontId="0" fillId="0" borderId="53" xfId="0" applyBorder="1" applyAlignment="1">
      <alignment horizontal="center"/>
    </xf>
    <xf numFmtId="0" fontId="1" fillId="20" borderId="51" xfId="0" applyFont="1" applyFill="1" applyBorder="1" applyAlignment="1">
      <alignment horizontal="center"/>
    </xf>
    <xf numFmtId="0" fontId="1" fillId="20" borderId="52" xfId="0" applyFont="1" applyFill="1" applyBorder="1" applyAlignment="1">
      <alignment horizontal="center"/>
    </xf>
    <xf numFmtId="0" fontId="1" fillId="20" borderId="53" xfId="0" applyFont="1" applyFill="1" applyBorder="1" applyAlignment="1">
      <alignment horizontal="center"/>
    </xf>
    <xf numFmtId="44" fontId="0" fillId="0" borderId="0" xfId="3" applyFont="1" applyBorder="1" applyAlignment="1">
      <alignment horizontal="left" vertical="center" wrapText="1"/>
    </xf>
    <xf numFmtId="2" fontId="0" fillId="0" borderId="0" xfId="0" applyNumberFormat="1" applyAlignment="1">
      <alignment horizontal="left"/>
    </xf>
    <xf numFmtId="183" fontId="0" fillId="0" borderId="0" xfId="0" applyNumberFormat="1"/>
    <xf numFmtId="0" fontId="0" fillId="22" borderId="40" xfId="0" applyFill="1" applyBorder="1"/>
    <xf numFmtId="0" fontId="0" fillId="22" borderId="41" xfId="0" applyFill="1" applyBorder="1"/>
    <xf numFmtId="0" fontId="0" fillId="22" borderId="41" xfId="0" applyFill="1" applyBorder="1" applyAlignment="1">
      <alignment horizontal="center"/>
    </xf>
    <xf numFmtId="0" fontId="11" fillId="22" borderId="41" xfId="0" applyFont="1" applyFill="1" applyBorder="1"/>
    <xf numFmtId="0" fontId="14" fillId="23" borderId="41" xfId="0" applyFont="1" applyFill="1" applyBorder="1" applyAlignment="1">
      <alignment horizontal="center"/>
    </xf>
    <xf numFmtId="0" fontId="0" fillId="22" borderId="0" xfId="0" applyFill="1"/>
    <xf numFmtId="0" fontId="18" fillId="23" borderId="0" xfId="0" applyFont="1" applyFill="1" applyAlignment="1">
      <alignment horizontal="center"/>
    </xf>
    <xf numFmtId="0" fontId="15" fillId="10" borderId="45" xfId="0" applyFont="1" applyFill="1" applyBorder="1" applyAlignment="1">
      <alignment horizontal="center" vertical="center" wrapText="1"/>
    </xf>
    <xf numFmtId="0" fontId="15" fillId="10" borderId="44" xfId="0" applyFont="1" applyFill="1" applyBorder="1" applyAlignment="1">
      <alignment horizontal="center" vertical="center" wrapText="1"/>
    </xf>
    <xf numFmtId="0" fontId="0" fillId="22" borderId="41" xfId="0" applyFill="1" applyBorder="1" applyAlignment="1">
      <alignment horizontal="left"/>
    </xf>
    <xf numFmtId="0" fontId="1" fillId="22" borderId="41" xfId="0" applyFont="1" applyFill="1" applyBorder="1"/>
    <xf numFmtId="0" fontId="1" fillId="0" borderId="51" xfId="0" applyFont="1" applyBorder="1" applyAlignment="1">
      <alignment horizontal="center" vertical="center" wrapText="1"/>
    </xf>
    <xf numFmtId="14" fontId="0" fillId="0" borderId="5" xfId="0" applyNumberFormat="1" applyBorder="1" applyAlignment="1">
      <alignment horizontal="center" vertical="center" wrapText="1"/>
    </xf>
    <xf numFmtId="14" fontId="0" fillId="0" borderId="8" xfId="0" applyNumberFormat="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1" fillId="20" borderId="51" xfId="0" applyFont="1" applyFill="1" applyBorder="1" applyAlignment="1">
      <alignment horizontal="center" vertical="center" wrapText="1"/>
    </xf>
    <xf numFmtId="0" fontId="1" fillId="20" borderId="5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1" xfId="0" applyFont="1" applyBorder="1" applyAlignment="1">
      <alignment horizontal="center"/>
    </xf>
    <xf numFmtId="0" fontId="1" fillId="20" borderId="56" xfId="0" applyFont="1" applyFill="1" applyBorder="1" applyAlignment="1">
      <alignment horizontal="center" vertical="center" wrapText="1"/>
    </xf>
    <xf numFmtId="0" fontId="4" fillId="20" borderId="67" xfId="0" applyFont="1" applyFill="1" applyBorder="1" applyAlignment="1">
      <alignment horizontal="center"/>
    </xf>
    <xf numFmtId="14" fontId="4" fillId="20" borderId="67" xfId="0" applyNumberFormat="1" applyFont="1" applyFill="1" applyBorder="1" applyAlignment="1">
      <alignment horizontal="center"/>
    </xf>
    <xf numFmtId="3" fontId="0" fillId="20" borderId="7" xfId="0" applyNumberFormat="1" applyFill="1" applyBorder="1" applyAlignment="1">
      <alignment horizontal="center"/>
    </xf>
    <xf numFmtId="3" fontId="0" fillId="20" borderId="67" xfId="0" applyNumberFormat="1" applyFill="1" applyBorder="1" applyAlignment="1">
      <alignment horizontal="center"/>
    </xf>
    <xf numFmtId="3" fontId="0" fillId="20" borderId="8" xfId="0" applyNumberFormat="1" applyFill="1" applyBorder="1" applyAlignment="1">
      <alignment horizontal="center"/>
    </xf>
    <xf numFmtId="3" fontId="0" fillId="20" borderId="68" xfId="0" applyNumberFormat="1" applyFill="1" applyBorder="1" applyAlignment="1">
      <alignment horizontal="center"/>
    </xf>
    <xf numFmtId="0" fontId="0" fillId="20" borderId="1" xfId="0" applyFill="1" applyBorder="1" applyAlignment="1">
      <alignment horizontal="center"/>
    </xf>
    <xf numFmtId="0" fontId="0" fillId="20" borderId="3" xfId="0" applyFill="1" applyBorder="1" applyAlignment="1">
      <alignment horizontal="center"/>
    </xf>
    <xf numFmtId="0" fontId="0" fillId="20" borderId="0" xfId="0" applyFill="1" applyAlignment="1">
      <alignment horizontal="center"/>
    </xf>
    <xf numFmtId="0" fontId="1" fillId="20" borderId="0" xfId="0" applyFont="1" applyFill="1" applyAlignment="1">
      <alignment horizontal="center"/>
    </xf>
    <xf numFmtId="0" fontId="1" fillId="20" borderId="1" xfId="0" applyFont="1" applyFill="1" applyBorder="1" applyAlignment="1">
      <alignment horizontal="center" vertical="center" wrapText="1"/>
    </xf>
    <xf numFmtId="0" fontId="1" fillId="20" borderId="2" xfId="0" applyFont="1" applyFill="1" applyBorder="1" applyAlignment="1">
      <alignment horizontal="center" vertical="center" wrapText="1"/>
    </xf>
    <xf numFmtId="0" fontId="1" fillId="20" borderId="3" xfId="0" applyFont="1" applyFill="1" applyBorder="1" applyAlignment="1">
      <alignment horizontal="center" vertical="center" wrapText="1"/>
    </xf>
    <xf numFmtId="49" fontId="1" fillId="20" borderId="12" xfId="0" applyNumberFormat="1" applyFont="1" applyFill="1" applyBorder="1" applyAlignment="1">
      <alignment horizontal="center"/>
    </xf>
    <xf numFmtId="49" fontId="1" fillId="20" borderId="13" xfId="0" applyNumberFormat="1" applyFont="1" applyFill="1" applyBorder="1" applyAlignment="1">
      <alignment horizontal="center"/>
    </xf>
    <xf numFmtId="49" fontId="1" fillId="20" borderId="14" xfId="0" applyNumberFormat="1" applyFont="1" applyFill="1" applyBorder="1" applyAlignment="1">
      <alignment horizontal="center"/>
    </xf>
    <xf numFmtId="0" fontId="13" fillId="20" borderId="16" xfId="0" applyFont="1" applyFill="1" applyBorder="1" applyAlignment="1">
      <alignment horizontal="center" vertical="center" wrapText="1"/>
    </xf>
    <xf numFmtId="14" fontId="13" fillId="20" borderId="16" xfId="0" applyNumberFormat="1" applyFont="1" applyFill="1" applyBorder="1" applyAlignment="1">
      <alignment horizontal="center"/>
    </xf>
    <xf numFmtId="0" fontId="1" fillId="20" borderId="15" xfId="0" applyFont="1" applyFill="1" applyBorder="1" applyAlignment="1">
      <alignment horizontal="center"/>
    </xf>
    <xf numFmtId="0" fontId="1" fillId="20" borderId="16" xfId="0" applyFont="1" applyFill="1" applyBorder="1" applyAlignment="1">
      <alignment horizontal="center"/>
    </xf>
    <xf numFmtId="0" fontId="1" fillId="20" borderId="75" xfId="0" applyFont="1" applyFill="1" applyBorder="1" applyAlignment="1">
      <alignment horizontal="center"/>
    </xf>
    <xf numFmtId="0" fontId="1" fillId="20" borderId="76" xfId="0" applyFont="1" applyFill="1" applyBorder="1" applyAlignment="1">
      <alignment horizontal="center"/>
    </xf>
    <xf numFmtId="0" fontId="1" fillId="20" borderId="52" xfId="0" applyFont="1" applyFill="1" applyBorder="1" applyAlignment="1">
      <alignment horizontal="center" vertical="center" wrapText="1"/>
    </xf>
    <xf numFmtId="0" fontId="0" fillId="20" borderId="4" xfId="0" applyFill="1" applyBorder="1" applyAlignment="1">
      <alignment horizontal="center"/>
    </xf>
    <xf numFmtId="0" fontId="0" fillId="20" borderId="6" xfId="0" applyFill="1" applyBorder="1" applyAlignment="1">
      <alignment horizontal="center"/>
    </xf>
    <xf numFmtId="0" fontId="0" fillId="20" borderId="51" xfId="0" applyFill="1" applyBorder="1" applyAlignment="1">
      <alignment horizontal="center"/>
    </xf>
    <xf numFmtId="0" fontId="0" fillId="20" borderId="52" xfId="0" applyFill="1" applyBorder="1" applyAlignment="1">
      <alignment horizontal="center"/>
    </xf>
    <xf numFmtId="0" fontId="0" fillId="20" borderId="53" xfId="0" applyFill="1" applyBorder="1" applyAlignment="1">
      <alignment horizontal="center"/>
    </xf>
    <xf numFmtId="21" fontId="0" fillId="0" borderId="7" xfId="0" applyNumberFormat="1" applyBorder="1" applyAlignment="1">
      <alignment horizontal="left" vertical="center" wrapText="1"/>
    </xf>
    <xf numFmtId="22" fontId="0" fillId="0" borderId="0" xfId="0" applyNumberFormat="1" applyAlignment="1">
      <alignment horizontal="left"/>
    </xf>
    <xf numFmtId="14" fontId="0" fillId="0" borderId="0" xfId="0" applyNumberFormat="1" applyAlignment="1">
      <alignment horizontal="left"/>
    </xf>
    <xf numFmtId="0" fontId="9" fillId="8" borderId="0" xfId="0" applyFont="1" applyFill="1" applyAlignment="1">
      <alignment vertical="center"/>
    </xf>
    <xf numFmtId="164" fontId="0" fillId="0" borderId="0" xfId="0" applyNumberFormat="1" applyAlignment="1">
      <alignment horizontal="left"/>
    </xf>
    <xf numFmtId="0" fontId="1" fillId="20" borderId="4" xfId="0" applyFont="1" applyFill="1" applyBorder="1" applyAlignment="1">
      <alignment horizontal="center"/>
    </xf>
    <xf numFmtId="0" fontId="1" fillId="20" borderId="5" xfId="0" applyFont="1" applyFill="1" applyBorder="1" applyAlignment="1">
      <alignment horizontal="center"/>
    </xf>
    <xf numFmtId="0" fontId="1" fillId="16" borderId="51" xfId="0" applyFont="1" applyFill="1" applyBorder="1" applyAlignment="1">
      <alignment horizontal="center"/>
    </xf>
    <xf numFmtId="0" fontId="1" fillId="16" borderId="52" xfId="0" applyFont="1" applyFill="1" applyBorder="1" applyAlignment="1">
      <alignment horizontal="center" vertical="center" wrapText="1"/>
    </xf>
    <xf numFmtId="0" fontId="1" fillId="16" borderId="53" xfId="0" applyFont="1" applyFill="1" applyBorder="1" applyAlignment="1">
      <alignment horizontal="center" vertical="center" wrapText="1"/>
    </xf>
    <xf numFmtId="21" fontId="0" fillId="0" borderId="0" xfId="0" applyNumberFormat="1" applyAlignment="1">
      <alignment horizontal="left" vertical="center" wrapText="1"/>
    </xf>
    <xf numFmtId="14" fontId="0" fillId="0" borderId="5" xfId="0" quotePrefix="1" applyNumberFormat="1" applyBorder="1" applyAlignment="1">
      <alignment horizontal="left" vertical="center" wrapText="1"/>
    </xf>
    <xf numFmtId="21" fontId="0" fillId="0" borderId="0" xfId="0" quotePrefix="1" applyNumberFormat="1" applyAlignment="1">
      <alignment horizontal="left" vertical="center" wrapText="1"/>
    </xf>
    <xf numFmtId="20" fontId="0" fillId="0" borderId="0" xfId="0" applyNumberFormat="1" applyAlignment="1">
      <alignment horizontal="left"/>
    </xf>
    <xf numFmtId="9" fontId="0" fillId="0" borderId="0" xfId="0" applyNumberFormat="1"/>
    <xf numFmtId="3" fontId="0" fillId="0" borderId="0" xfId="0" applyNumberFormat="1" applyAlignment="1">
      <alignment horizontal="center" vertical="center" wrapText="1"/>
    </xf>
    <xf numFmtId="9" fontId="0" fillId="0" borderId="0" xfId="0" applyNumberFormat="1" applyAlignment="1">
      <alignment horizontal="center"/>
    </xf>
    <xf numFmtId="9" fontId="0" fillId="0" borderId="7" xfId="0" applyNumberFormat="1" applyBorder="1" applyAlignment="1">
      <alignment horizontal="center"/>
    </xf>
    <xf numFmtId="0" fontId="1" fillId="20" borderId="51" xfId="0" applyFont="1" applyFill="1" applyBorder="1" applyAlignment="1">
      <alignment horizontal="left" vertical="center" wrapText="1"/>
    </xf>
    <xf numFmtId="0" fontId="1" fillId="20" borderId="52" xfId="0" applyFont="1" applyFill="1" applyBorder="1" applyAlignment="1">
      <alignment horizontal="left" vertical="center" wrapText="1"/>
    </xf>
    <xf numFmtId="0" fontId="1" fillId="20" borderId="53" xfId="0" applyFont="1" applyFill="1" applyBorder="1" applyAlignment="1">
      <alignment horizontal="left" vertical="center" wrapText="1"/>
    </xf>
    <xf numFmtId="3" fontId="0" fillId="0" borderId="0" xfId="0" applyNumberFormat="1" applyAlignment="1">
      <alignment vertical="center" wrapText="1"/>
    </xf>
    <xf numFmtId="0" fontId="1" fillId="0" borderId="17" xfId="0" applyFont="1" applyBorder="1" applyAlignment="1">
      <alignment horizontal="center"/>
    </xf>
    <xf numFmtId="0" fontId="0" fillId="20" borderId="4" xfId="0" applyFill="1" applyBorder="1" applyAlignment="1">
      <alignment horizontal="center" vertical="center" wrapText="1"/>
    </xf>
    <xf numFmtId="0" fontId="0" fillId="24" borderId="51" xfId="0" applyFill="1" applyBorder="1" applyAlignment="1">
      <alignment horizontal="center" vertical="center" wrapText="1"/>
    </xf>
    <xf numFmtId="0" fontId="0" fillId="24" borderId="4" xfId="0" applyFill="1" applyBorder="1" applyAlignment="1">
      <alignment horizontal="center" vertical="center" wrapText="1"/>
    </xf>
    <xf numFmtId="0" fontId="0" fillId="16" borderId="4" xfId="0" applyFill="1" applyBorder="1" applyAlignment="1">
      <alignment horizontal="center" vertical="center" wrapText="1"/>
    </xf>
    <xf numFmtId="0" fontId="0" fillId="25" borderId="6" xfId="0" applyFill="1" applyBorder="1" applyAlignment="1">
      <alignment horizontal="center" vertical="center" wrapText="1"/>
    </xf>
    <xf numFmtId="0" fontId="1" fillId="26" borderId="15" xfId="0" applyFont="1" applyFill="1" applyBorder="1" applyAlignment="1">
      <alignment horizontal="center"/>
    </xf>
    <xf numFmtId="0" fontId="32" fillId="0" borderId="15" xfId="0" applyFont="1" applyBorder="1" applyAlignment="1">
      <alignment horizontal="center"/>
    </xf>
    <xf numFmtId="0" fontId="32" fillId="0" borderId="16" xfId="0" applyFont="1" applyBorder="1" applyAlignment="1">
      <alignment horizontal="center"/>
    </xf>
    <xf numFmtId="0" fontId="32" fillId="0" borderId="17" xfId="0" applyFont="1" applyBorder="1" applyAlignment="1">
      <alignment horizontal="center"/>
    </xf>
    <xf numFmtId="0" fontId="33" fillId="0" borderId="9" xfId="0" applyFont="1" applyBorder="1" applyAlignment="1">
      <alignment horizontal="center"/>
    </xf>
    <xf numFmtId="0" fontId="33" fillId="0" borderId="10" xfId="0" applyFont="1" applyBorder="1" applyAlignment="1">
      <alignment horizontal="center"/>
    </xf>
    <xf numFmtId="0" fontId="33" fillId="0" borderId="55" xfId="0" applyFont="1" applyBorder="1" applyAlignment="1">
      <alignment horizontal="center"/>
    </xf>
    <xf numFmtId="0" fontId="33" fillId="0" borderId="11" xfId="0" applyFont="1" applyBorder="1" applyAlignment="1">
      <alignment horizontal="center"/>
    </xf>
    <xf numFmtId="0" fontId="4" fillId="0" borderId="62" xfId="0" applyFont="1" applyBorder="1" applyAlignment="1">
      <alignment horizontal="center"/>
    </xf>
    <xf numFmtId="0" fontId="4" fillId="0" borderId="55" xfId="0" applyFont="1" applyBorder="1" applyAlignment="1">
      <alignment horizontal="center"/>
    </xf>
    <xf numFmtId="0" fontId="4" fillId="0" borderId="63" xfId="0" applyFont="1" applyBorder="1" applyAlignment="1">
      <alignment horizontal="center"/>
    </xf>
    <xf numFmtId="0" fontId="31" fillId="20" borderId="18" xfId="0" applyFont="1" applyFill="1" applyBorder="1" applyAlignment="1">
      <alignment horizontal="center"/>
    </xf>
    <xf numFmtId="0" fontId="31" fillId="20" borderId="0" xfId="0" applyFont="1" applyFill="1" applyAlignment="1">
      <alignment horizontal="center"/>
    </xf>
    <xf numFmtId="0" fontId="31" fillId="20" borderId="19" xfId="0" applyFont="1" applyFill="1" applyBorder="1" applyAlignment="1">
      <alignment horizontal="center"/>
    </xf>
    <xf numFmtId="164" fontId="1" fillId="8" borderId="0" xfId="0" applyNumberFormat="1" applyFont="1" applyFill="1" applyAlignment="1">
      <alignment horizontal="center"/>
    </xf>
    <xf numFmtId="0" fontId="1" fillId="8" borderId="0" xfId="0" applyFont="1" applyFill="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70"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1" fillId="0" borderId="0" xfId="0" applyFont="1" applyAlignment="1">
      <alignment horizontal="center"/>
    </xf>
    <xf numFmtId="0" fontId="0" fillId="8" borderId="0" xfId="0" applyFill="1" applyAlignment="1">
      <alignment horizontal="center"/>
    </xf>
    <xf numFmtId="0" fontId="0" fillId="8" borderId="9" xfId="0"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32" fillId="0" borderId="54" xfId="0" applyFont="1" applyBorder="1" applyAlignment="1">
      <alignment horizontal="center"/>
    </xf>
    <xf numFmtId="0" fontId="32" fillId="0" borderId="55" xfId="0" applyFont="1" applyBorder="1" applyAlignment="1">
      <alignment horizontal="center"/>
    </xf>
    <xf numFmtId="0" fontId="32" fillId="0" borderId="56" xfId="0" applyFont="1" applyBorder="1" applyAlignment="1">
      <alignment horizontal="center"/>
    </xf>
    <xf numFmtId="0" fontId="29" fillId="8" borderId="0" xfId="0" applyFont="1" applyFill="1" applyAlignment="1">
      <alignment horizontal="center"/>
    </xf>
    <xf numFmtId="0" fontId="7" fillId="18" borderId="61" xfId="10" applyBorder="1" applyAlignment="1">
      <alignment horizontal="center" vertical="center"/>
    </xf>
    <xf numFmtId="0" fontId="7" fillId="18" borderId="60" xfId="10" applyBorder="1" applyAlignment="1">
      <alignment horizontal="center" vertical="center"/>
    </xf>
    <xf numFmtId="0" fontId="7" fillId="18" borderId="61" xfId="10" applyBorder="1" applyAlignment="1">
      <alignment horizontal="center" vertical="center" wrapText="1"/>
    </xf>
    <xf numFmtId="0" fontId="7" fillId="18" borderId="60" xfId="10" applyBorder="1" applyAlignment="1">
      <alignment horizontal="center" vertical="center" wrapText="1"/>
    </xf>
    <xf numFmtId="0" fontId="28" fillId="0" borderId="0" xfId="0" applyFont="1" applyAlignment="1">
      <alignment horizontal="center"/>
    </xf>
    <xf numFmtId="0" fontId="13" fillId="8" borderId="0" xfId="0" applyFont="1" applyFill="1" applyAlignment="1">
      <alignment horizontal="center"/>
    </xf>
    <xf numFmtId="0" fontId="33" fillId="0" borderId="54" xfId="0" applyFont="1" applyBorder="1" applyAlignment="1">
      <alignment horizontal="center"/>
    </xf>
    <xf numFmtId="0" fontId="33" fillId="0" borderId="56" xfId="0" applyFont="1" applyBorder="1" applyAlignment="1">
      <alignment horizontal="center"/>
    </xf>
    <xf numFmtId="0" fontId="1" fillId="10" borderId="54" xfId="0" applyFont="1" applyFill="1" applyBorder="1" applyAlignment="1">
      <alignment horizontal="center" vertical="center" wrapText="1"/>
    </xf>
    <xf numFmtId="0" fontId="1" fillId="10" borderId="55" xfId="0" applyFont="1" applyFill="1" applyBorder="1" applyAlignment="1">
      <alignment horizontal="center" vertical="center" wrapText="1"/>
    </xf>
    <xf numFmtId="0" fontId="1" fillId="10" borderId="56" xfId="0" applyFont="1" applyFill="1" applyBorder="1" applyAlignment="1">
      <alignment horizontal="center" vertical="center" wrapText="1"/>
    </xf>
    <xf numFmtId="0" fontId="11" fillId="15" borderId="0" xfId="0" applyFont="1" applyFill="1" applyAlignment="1">
      <alignment horizontal="center"/>
    </xf>
    <xf numFmtId="0" fontId="1"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left" vertical="center"/>
    </xf>
    <xf numFmtId="0" fontId="11" fillId="0" borderId="0" xfId="0" applyFont="1" applyAlignment="1">
      <alignment horizontal="center"/>
    </xf>
    <xf numFmtId="14" fontId="11" fillId="0" borderId="0" xfId="0" applyNumberFormat="1" applyFont="1" applyAlignment="1">
      <alignment horizontal="left"/>
    </xf>
    <xf numFmtId="0" fontId="33" fillId="0" borderId="15" xfId="0" applyFont="1" applyBorder="1" applyAlignment="1">
      <alignment horizontal="center"/>
    </xf>
    <xf numFmtId="0" fontId="33" fillId="0" borderId="16" xfId="0" applyFont="1" applyBorder="1" applyAlignment="1">
      <alignment horizontal="center"/>
    </xf>
    <xf numFmtId="0" fontId="33" fillId="0" borderId="17" xfId="0" applyFont="1" applyBorder="1" applyAlignment="1">
      <alignment horizontal="center"/>
    </xf>
    <xf numFmtId="0" fontId="17" fillId="0" borderId="0" xfId="0" applyFont="1" applyAlignment="1">
      <alignment horizontal="center"/>
    </xf>
    <xf numFmtId="0" fontId="11" fillId="0" borderId="0" xfId="0" applyFont="1" applyAlignment="1">
      <alignment horizontal="left"/>
    </xf>
    <xf numFmtId="0" fontId="1" fillId="0" borderId="4" xfId="0" applyFont="1" applyBorder="1" applyAlignment="1">
      <alignment horizontal="left" vertical="center"/>
    </xf>
    <xf numFmtId="0" fontId="1" fillId="0" borderId="5" xfId="0" applyFont="1" applyBorder="1" applyAlignment="1">
      <alignment horizontal="left" vertical="center"/>
    </xf>
    <xf numFmtId="0" fontId="2" fillId="0" borderId="15" xfId="0" applyFont="1" applyBorder="1" applyAlignment="1">
      <alignment horizontal="center"/>
    </xf>
    <xf numFmtId="0" fontId="2" fillId="0" borderId="17"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8" borderId="51" xfId="0" applyFont="1" applyFill="1" applyBorder="1" applyAlignment="1">
      <alignment horizontal="center"/>
    </xf>
    <xf numFmtId="0" fontId="1" fillId="8" borderId="53" xfId="0" applyFont="1" applyFill="1" applyBorder="1" applyAlignment="1">
      <alignment horizontal="center"/>
    </xf>
    <xf numFmtId="0" fontId="2" fillId="9" borderId="51" xfId="0" applyFont="1" applyFill="1" applyBorder="1" applyAlignment="1">
      <alignment horizontal="center"/>
    </xf>
    <xf numFmtId="0" fontId="2" fillId="9" borderId="53" xfId="0" applyFont="1" applyFill="1" applyBorder="1" applyAlignment="1">
      <alignment horizont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51" xfId="0" applyFont="1" applyBorder="1" applyAlignment="1">
      <alignment horizontal="left" vertical="center"/>
    </xf>
    <xf numFmtId="0" fontId="1" fillId="0" borderId="52" xfId="0" applyFont="1" applyBorder="1" applyAlignment="1">
      <alignment horizontal="left" vertical="center"/>
    </xf>
    <xf numFmtId="0" fontId="1" fillId="0" borderId="53" xfId="0" applyFont="1" applyBorder="1" applyAlignment="1">
      <alignment horizontal="left" vertical="center"/>
    </xf>
    <xf numFmtId="0" fontId="9" fillId="10" borderId="0" xfId="0" applyFont="1" applyFill="1" applyAlignment="1">
      <alignment horizontal="center" vertical="center"/>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1" fillId="9" borderId="51" xfId="0" applyFont="1" applyFill="1" applyBorder="1" applyAlignment="1">
      <alignment horizontal="center"/>
    </xf>
    <xf numFmtId="0" fontId="1" fillId="9" borderId="53" xfId="0" applyFont="1" applyFill="1" applyBorder="1" applyAlignment="1">
      <alignment horizontal="center"/>
    </xf>
    <xf numFmtId="0" fontId="1" fillId="8" borderId="4" xfId="0" applyFont="1" applyFill="1" applyBorder="1" applyAlignment="1">
      <alignment horizontal="center"/>
    </xf>
    <xf numFmtId="0" fontId="1" fillId="8" borderId="5" xfId="0" applyFont="1" applyFill="1" applyBorder="1" applyAlignment="1">
      <alignment horizontal="center"/>
    </xf>
    <xf numFmtId="0" fontId="1" fillId="8" borderId="51" xfId="0" applyFont="1" applyFill="1" applyBorder="1" applyAlignment="1">
      <alignment horizontal="center" vertical="center" wrapText="1"/>
    </xf>
    <xf numFmtId="0" fontId="1" fillId="8" borderId="52" xfId="0" applyFont="1" applyFill="1" applyBorder="1" applyAlignment="1">
      <alignment horizontal="center" vertical="center" wrapText="1"/>
    </xf>
    <xf numFmtId="0" fontId="1" fillId="8" borderId="53" xfId="0" applyFont="1" applyFill="1" applyBorder="1" applyAlignment="1">
      <alignment horizontal="center"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1" fillId="8" borderId="52" xfId="0" applyFont="1" applyFill="1" applyBorder="1" applyAlignment="1">
      <alignment horizontal="center"/>
    </xf>
    <xf numFmtId="0" fontId="1" fillId="20" borderId="51" xfId="0" applyFont="1" applyFill="1" applyBorder="1" applyAlignment="1">
      <alignment horizontal="center" vertical="center" wrapText="1"/>
    </xf>
    <xf numFmtId="0" fontId="1" fillId="20" borderId="53" xfId="0" applyFont="1" applyFill="1" applyBorder="1" applyAlignment="1">
      <alignment horizontal="center" vertical="center" wrapText="1"/>
    </xf>
    <xf numFmtId="0" fontId="0" fillId="0" borderId="51" xfId="0" applyBorder="1" applyAlignment="1">
      <alignment horizontal="left"/>
    </xf>
    <xf numFmtId="0" fontId="0" fillId="0" borderId="52" xfId="0" applyBorder="1" applyAlignment="1">
      <alignment horizontal="left"/>
    </xf>
    <xf numFmtId="0" fontId="0" fillId="0" borderId="53" xfId="0" applyBorder="1" applyAlignment="1">
      <alignment horizontal="left"/>
    </xf>
    <xf numFmtId="0" fontId="0" fillId="0" borderId="4" xfId="0" applyBorder="1" applyAlignment="1">
      <alignment horizontal="center" vertical="center"/>
    </xf>
    <xf numFmtId="0" fontId="0" fillId="0" borderId="5" xfId="0" applyBorder="1" applyAlignment="1">
      <alignment horizontal="center" vertical="center"/>
    </xf>
    <xf numFmtId="0" fontId="1" fillId="20" borderId="52" xfId="0" applyFont="1" applyFill="1" applyBorder="1" applyAlignment="1">
      <alignment horizontal="center"/>
    </xf>
    <xf numFmtId="0" fontId="1" fillId="20" borderId="53" xfId="0" applyFont="1" applyFill="1" applyBorder="1" applyAlignment="1">
      <alignment horizontal="center"/>
    </xf>
    <xf numFmtId="0" fontId="1" fillId="20" borderId="15" xfId="0" applyFont="1" applyFill="1" applyBorder="1" applyAlignment="1">
      <alignment horizontal="center" vertical="center" wrapText="1"/>
    </xf>
    <xf numFmtId="0" fontId="1" fillId="20" borderId="17" xfId="0" applyFont="1" applyFill="1" applyBorder="1" applyAlignment="1">
      <alignment horizontal="center"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 fillId="0" borderId="51" xfId="0" applyFont="1" applyBorder="1" applyAlignment="1">
      <alignment horizontal="left"/>
    </xf>
    <xf numFmtId="0" fontId="1" fillId="0" borderId="52" xfId="0" applyFont="1" applyBorder="1" applyAlignment="1">
      <alignment horizontal="left"/>
    </xf>
    <xf numFmtId="0" fontId="1" fillId="0" borderId="53"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0" xfId="0"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8" fillId="10" borderId="0" xfId="0" applyFont="1" applyFill="1" applyAlignment="1">
      <alignment horizontal="center"/>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51" xfId="0" applyBorder="1" applyAlignment="1">
      <alignment horizontal="left" vertical="center"/>
    </xf>
    <xf numFmtId="0" fontId="0" fillId="0" borderId="52" xfId="0" applyBorder="1" applyAlignment="1">
      <alignment horizontal="left" vertical="center"/>
    </xf>
    <xf numFmtId="0" fontId="0" fillId="0" borderId="53" xfId="0" applyBorder="1" applyAlignment="1">
      <alignment horizontal="left" vertical="center"/>
    </xf>
    <xf numFmtId="0" fontId="1" fillId="20" borderId="16" xfId="0" applyFont="1" applyFill="1" applyBorder="1" applyAlignment="1">
      <alignment horizontal="center"/>
    </xf>
    <xf numFmtId="0" fontId="1" fillId="20" borderId="17" xfId="0" applyFont="1" applyFill="1" applyBorder="1" applyAlignment="1">
      <alignment horizontal="center"/>
    </xf>
    <xf numFmtId="0" fontId="1" fillId="20" borderId="76" xfId="0" applyFont="1" applyFill="1" applyBorder="1" applyAlignment="1">
      <alignment horizontal="center"/>
    </xf>
    <xf numFmtId="0" fontId="1" fillId="20" borderId="77" xfId="0" applyFont="1" applyFill="1" applyBorder="1" applyAlignment="1">
      <alignment horizontal="center"/>
    </xf>
    <xf numFmtId="0" fontId="1" fillId="10" borderId="15" xfId="0" applyFont="1" applyFill="1" applyBorder="1" applyAlignment="1">
      <alignment horizontal="center"/>
    </xf>
    <xf numFmtId="0" fontId="1" fillId="10" borderId="17" xfId="0" applyFont="1" applyFill="1" applyBorder="1" applyAlignment="1">
      <alignment horizontal="center"/>
    </xf>
    <xf numFmtId="0" fontId="0" fillId="0" borderId="54" xfId="0" applyBorder="1" applyAlignment="1">
      <alignment horizontal="left"/>
    </xf>
    <xf numFmtId="0" fontId="0" fillId="0" borderId="55" xfId="0" applyBorder="1" applyAlignment="1">
      <alignment horizontal="left"/>
    </xf>
    <xf numFmtId="0" fontId="0" fillId="0" borderId="56" xfId="0" applyBorder="1" applyAlignment="1">
      <alignment horizontal="left"/>
    </xf>
    <xf numFmtId="0" fontId="2" fillId="0" borderId="0" xfId="0" applyFont="1" applyAlignment="1">
      <alignment horizontal="center" vertical="center"/>
    </xf>
    <xf numFmtId="0" fontId="1" fillId="10" borderId="51" xfId="0" applyFont="1" applyFill="1" applyBorder="1" applyAlignment="1">
      <alignment horizontal="center"/>
    </xf>
    <xf numFmtId="0" fontId="1" fillId="10" borderId="52" xfId="0" applyFont="1" applyFill="1" applyBorder="1" applyAlignment="1">
      <alignment horizontal="center"/>
    </xf>
    <xf numFmtId="0" fontId="1" fillId="10" borderId="53" xfId="0" applyFont="1" applyFill="1" applyBorder="1" applyAlignment="1">
      <alignment horizontal="center"/>
    </xf>
    <xf numFmtId="0" fontId="9" fillId="20" borderId="0" xfId="0" applyFont="1" applyFill="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8" borderId="0" xfId="0" applyFont="1" applyFill="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8" borderId="51" xfId="0" applyFont="1" applyFill="1" applyBorder="1" applyAlignment="1">
      <alignment horizontal="center" vertical="center"/>
    </xf>
    <xf numFmtId="0" fontId="13" fillId="8" borderId="52" xfId="0" applyFont="1" applyFill="1" applyBorder="1" applyAlignment="1">
      <alignment horizontal="center" vertical="center"/>
    </xf>
    <xf numFmtId="0" fontId="13" fillId="8" borderId="53" xfId="0" applyFont="1" applyFill="1" applyBorder="1" applyAlignment="1">
      <alignment horizontal="center" vertical="center"/>
    </xf>
    <xf numFmtId="0" fontId="9" fillId="16" borderId="54" xfId="0" applyFont="1" applyFill="1" applyBorder="1" applyAlignment="1">
      <alignment horizontal="center"/>
    </xf>
    <xf numFmtId="0" fontId="9" fillId="16" borderId="55" xfId="0" applyFont="1" applyFill="1" applyBorder="1" applyAlignment="1">
      <alignment horizontal="center"/>
    </xf>
    <xf numFmtId="0" fontId="9" fillId="16" borderId="56" xfId="0" applyFont="1" applyFill="1" applyBorder="1" applyAlignment="1">
      <alignment horizontal="center"/>
    </xf>
    <xf numFmtId="0" fontId="9" fillId="16" borderId="51" xfId="0" applyFont="1" applyFill="1" applyBorder="1" applyAlignment="1">
      <alignment horizontal="center"/>
    </xf>
    <xf numFmtId="0" fontId="9" fillId="16" borderId="52" xfId="0" applyFont="1" applyFill="1" applyBorder="1" applyAlignment="1">
      <alignment horizontal="center"/>
    </xf>
    <xf numFmtId="0" fontId="9" fillId="16" borderId="53" xfId="0" applyFont="1" applyFill="1" applyBorder="1" applyAlignment="1">
      <alignment horizontal="center"/>
    </xf>
    <xf numFmtId="0" fontId="2" fillId="0" borderId="0" xfId="0" applyFont="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2" fillId="0" borderId="53" xfId="0" applyFont="1" applyBorder="1" applyAlignment="1">
      <alignment horizontal="center"/>
    </xf>
    <xf numFmtId="0" fontId="38" fillId="10" borderId="21" xfId="0" applyFont="1" applyFill="1" applyBorder="1" applyAlignment="1">
      <alignment horizontal="center"/>
    </xf>
    <xf numFmtId="0" fontId="9" fillId="0" borderId="51" xfId="0" applyFont="1" applyBorder="1" applyAlignment="1">
      <alignment horizontal="left" vertical="center"/>
    </xf>
    <xf numFmtId="0" fontId="9" fillId="0" borderId="52" xfId="0" applyFont="1" applyBorder="1" applyAlignment="1">
      <alignment horizontal="left" vertical="center"/>
    </xf>
    <xf numFmtId="0" fontId="9" fillId="0" borderId="53" xfId="0" applyFont="1" applyBorder="1" applyAlignment="1">
      <alignment horizontal="left" vertical="center"/>
    </xf>
    <xf numFmtId="0" fontId="28" fillId="20" borderId="51" xfId="0" applyFont="1" applyFill="1" applyBorder="1" applyAlignment="1">
      <alignment horizontal="center"/>
    </xf>
    <xf numFmtId="0" fontId="28" fillId="20" borderId="52" xfId="0" applyFont="1" applyFill="1" applyBorder="1" applyAlignment="1">
      <alignment horizontal="center"/>
    </xf>
    <xf numFmtId="0" fontId="28" fillId="20" borderId="53" xfId="0" applyFont="1" applyFill="1" applyBorder="1" applyAlignment="1">
      <alignment horizontal="center"/>
    </xf>
    <xf numFmtId="0" fontId="28" fillId="8" borderId="51" xfId="0" applyFont="1" applyFill="1" applyBorder="1" applyAlignment="1">
      <alignment horizontal="center"/>
    </xf>
    <xf numFmtId="0" fontId="28" fillId="8" borderId="52" xfId="0" applyFont="1" applyFill="1" applyBorder="1" applyAlignment="1">
      <alignment horizontal="center"/>
    </xf>
    <xf numFmtId="0" fontId="28" fillId="8" borderId="53" xfId="0" applyFont="1" applyFill="1" applyBorder="1" applyAlignment="1">
      <alignment horizontal="center"/>
    </xf>
    <xf numFmtId="0" fontId="9" fillId="0" borderId="4" xfId="0" applyFont="1" applyBorder="1" applyAlignment="1">
      <alignment horizontal="left" vertical="center"/>
    </xf>
    <xf numFmtId="0" fontId="9" fillId="0" borderId="0" xfId="0" applyFont="1" applyAlignment="1">
      <alignment horizontal="left" vertical="center"/>
    </xf>
    <xf numFmtId="0" fontId="9" fillId="0" borderId="5" xfId="0" applyFont="1" applyBorder="1" applyAlignment="1">
      <alignment horizontal="left"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28" fillId="0" borderId="0" xfId="0" applyFont="1" applyAlignment="1">
      <alignment horizontal="left"/>
    </xf>
    <xf numFmtId="0" fontId="34" fillId="0" borderId="0" xfId="0" applyFont="1" applyAlignment="1">
      <alignment horizontal="center"/>
    </xf>
    <xf numFmtId="182" fontId="0" fillId="0" borderId="4" xfId="0" applyNumberFormat="1" applyBorder="1" applyAlignment="1">
      <alignment horizontal="center"/>
    </xf>
    <xf numFmtId="182" fontId="0" fillId="0" borderId="0" xfId="0" applyNumberFormat="1" applyAlignment="1">
      <alignment horizontal="center"/>
    </xf>
    <xf numFmtId="182" fontId="0" fillId="0" borderId="5" xfId="0" applyNumberFormat="1" applyBorder="1" applyAlignment="1">
      <alignment horizontal="center"/>
    </xf>
  </cellXfs>
  <cellStyles count="11">
    <cellStyle name="20% - Accent5" xfId="1" builtinId="46"/>
    <cellStyle name="Check Cell" xfId="10" builtinId="23"/>
    <cellStyle name="Comma 2" xfId="6" xr:uid="{E38F3428-CAD9-4891-A88E-904D9D56F627}"/>
    <cellStyle name="Currency" xfId="3" builtinId="4"/>
    <cellStyle name="Currency 2" xfId="7" xr:uid="{4BE9B1B9-E2F0-4450-93E6-AFF4999DA40A}"/>
    <cellStyle name="Neutral" xfId="2" builtinId="28"/>
    <cellStyle name="Normal" xfId="0" builtinId="0"/>
    <cellStyle name="Normal 3" xfId="5" xr:uid="{11B0189D-8BB0-4887-AA6E-60E7BCAE38B2}"/>
    <cellStyle name="Normal_Grades" xfId="8" xr:uid="{7D555783-9CAB-4C10-810C-E0CDDA328D40}"/>
    <cellStyle name="Normal_Sheet10" xfId="9" xr:uid="{B2B856E6-36B9-4C46-A88E-116766BCCF81}"/>
    <cellStyle name="Note" xfId="4" builtinId="10"/>
  </cellStyles>
  <dxfs count="64">
    <dxf>
      <fill>
        <patternFill>
          <bgColor theme="7" tint="0.3999450666829432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9" tint="0.39994506668294322"/>
        </patternFill>
      </fill>
    </dxf>
    <dxf>
      <fill>
        <patternFill>
          <bgColor rgb="FFFF0000"/>
        </patternFill>
      </fill>
    </dxf>
    <dxf>
      <fill>
        <patternFill>
          <bgColor theme="7" tint="0.39994506668294322"/>
        </patternFill>
      </fill>
    </dxf>
    <dxf>
      <fill>
        <patternFill>
          <bgColor theme="5" tint="0.39994506668294322"/>
        </patternFill>
      </fill>
    </dxf>
    <dxf>
      <font>
        <b/>
        <i val="0"/>
      </font>
      <numFmt numFmtId="184" formatCode="&quot;Excellent!&quot;00"/>
      <fill>
        <patternFill>
          <bgColor theme="9" tint="0.59996337778862885"/>
        </patternFill>
      </fill>
    </dxf>
    <dxf>
      <fill>
        <patternFill>
          <bgColor theme="9" tint="0.39994506668294322"/>
        </patternFill>
      </fill>
    </dxf>
    <dxf>
      <fill>
        <patternFill>
          <bgColor theme="8" tint="0.39994506668294322"/>
        </patternFill>
      </fill>
    </dxf>
    <dxf>
      <numFmt numFmtId="185" formatCode="\$#,##0;[Red]\$#,##0"/>
      <fill>
        <patternFill patternType="solid">
          <fgColor rgb="FF00B0F0"/>
          <bgColor theme="4" tint="0.79998168889431442"/>
        </patternFill>
      </fill>
      <border>
        <vertical/>
        <horizontal/>
      </border>
    </dxf>
    <dxf>
      <fill>
        <patternFill>
          <bgColor theme="5" tint="0.39994506668294322"/>
        </patternFill>
      </fill>
    </dxf>
    <dxf>
      <fill>
        <patternFill>
          <bgColor theme="7" tint="0.39994506668294322"/>
        </patternFill>
      </fill>
    </dxf>
    <dxf>
      <fill>
        <patternFill>
          <bgColor theme="9" tint="0.79998168889431442"/>
        </patternFill>
      </fill>
    </dxf>
    <dxf>
      <fill>
        <patternFill>
          <bgColor theme="5" tint="0.39994506668294322"/>
        </patternFill>
      </fill>
    </dxf>
    <dxf>
      <fill>
        <patternFill>
          <bgColor rgb="FFFFFF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5" formatCode="&quot;$&quot;#,##0"/>
    </dxf>
    <dxf>
      <numFmt numFmtId="175" formatCode="&quot;$&quot;#,##0"/>
    </dxf>
    <dxf>
      <numFmt numFmtId="175" formatCode="&quot;$&quot;#,##0"/>
    </dxf>
    <dxf>
      <font>
        <b val="0"/>
        <i val="0"/>
        <strike val="0"/>
        <condense val="0"/>
        <extend val="0"/>
        <outline val="0"/>
        <shadow val="0"/>
        <u val="none"/>
        <vertAlign val="baseline"/>
        <sz val="10"/>
        <color theme="1"/>
        <name val="Tahoma"/>
        <scheme val="none"/>
      </font>
      <numFmt numFmtId="175" formatCode="&quot;$&quot;#,##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center"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dxf>
    <dxf>
      <font>
        <strike val="0"/>
        <outline val="0"/>
        <shadow val="0"/>
        <u val="none"/>
        <vertAlign val="baseline"/>
        <sz val="11"/>
        <name val="Calibri"/>
        <scheme val="minor"/>
      </font>
      <fill>
        <patternFill patternType="none">
          <fgColor indexed="64"/>
          <bgColor auto="1"/>
        </patternFill>
      </fill>
    </dxf>
    <dxf>
      <font>
        <strike val="0"/>
        <outline val="0"/>
        <shadow val="0"/>
        <u val="none"/>
        <vertAlign val="baseline"/>
        <sz val="1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75" formatCode="&quot;$&quot;#,##0"/>
      <fill>
        <patternFill patternType="none">
          <fgColor indexed="64"/>
          <bgColor auto="1"/>
        </patternFill>
      </fill>
    </dxf>
    <dxf>
      <font>
        <strike val="0"/>
        <outline val="0"/>
        <shadow val="0"/>
        <u val="none"/>
        <vertAlign val="baseline"/>
        <sz val="11"/>
        <name val="Calibri"/>
        <scheme val="minor"/>
      </font>
      <numFmt numFmtId="174" formatCode="mm/dd/yy;@"/>
      <alignment horizontal="center" vertical="bottom" textRotation="0" wrapText="0" indent="0" justifyLastLine="0" shrinkToFit="0" readingOrder="0"/>
    </dxf>
    <dxf>
      <font>
        <strike val="0"/>
        <outline val="0"/>
        <shadow val="0"/>
        <u val="none"/>
        <vertAlign val="baseline"/>
        <sz val="11"/>
        <name val="Calibri"/>
        <scheme val="minor"/>
      </font>
    </dxf>
    <dxf>
      <font>
        <strike val="0"/>
        <outline val="0"/>
        <shadow val="0"/>
        <u val="none"/>
        <vertAlign val="baseline"/>
        <sz val="11"/>
        <name val="Calibri"/>
        <scheme val="minor"/>
      </font>
    </dxf>
    <dxf>
      <font>
        <b/>
        <i val="0"/>
        <strike val="0"/>
        <condense val="0"/>
        <extend val="0"/>
        <outline val="0"/>
        <shadow val="0"/>
        <u val="none"/>
        <vertAlign val="baseline"/>
        <sz val="11"/>
        <color auto="1"/>
        <name val="Calibri"/>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3300"/>
      <color rgb="FFFF00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NIKE SALES</a:t>
            </a:r>
            <a:r>
              <a:rPr lang="en-IN" baseline="0"/>
              <a:t> DATA</a:t>
            </a:r>
            <a:endParaRPr lang="en-IN"/>
          </a:p>
        </c:rich>
      </c:tx>
      <c:overlay val="0"/>
      <c:spPr>
        <a:noFill/>
        <a:ln>
          <a:noFill/>
        </a:ln>
        <a:effectLst/>
      </c:spPr>
    </c:title>
    <c:autoTitleDeleted val="0"/>
    <c:plotArea>
      <c:layout/>
      <c:barChart>
        <c:barDir val="col"/>
        <c:grouping val="clustered"/>
        <c:varyColors val="0"/>
        <c:ser>
          <c:idx val="0"/>
          <c:order val="0"/>
          <c:tx>
            <c:strRef>
              <c:f>'COLUMN CHART'!$B$12</c:f>
              <c:strCache>
                <c:ptCount val="1"/>
                <c:pt idx="0">
                  <c:v>North America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9600" tIns="19050" rIns="38100" bIns="19050" anchor="ctr" anchorCtr="0">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val>
            <c:numRef>
              <c:f>'COLUMN CHART'!$C$12:$F$12</c:f>
              <c:numCache>
                <c:formatCode>[$$-409]#,##0</c:formatCode>
                <c:ptCount val="4"/>
                <c:pt idx="0">
                  <c:v>50000</c:v>
                </c:pt>
                <c:pt idx="1">
                  <c:v>55000</c:v>
                </c:pt>
                <c:pt idx="2">
                  <c:v>60000</c:v>
                </c:pt>
                <c:pt idx="3">
                  <c:v>65000</c:v>
                </c:pt>
              </c:numCache>
            </c:numRef>
          </c:val>
          <c:extLst>
            <c:ext xmlns:c15="http://schemas.microsoft.com/office/drawing/2012/chart" uri="{02D57815-91ED-43cb-92C2-25804820EDAC}">
              <c15:filteredCategoryTitle>
                <c15:cat>
                  <c:strRef>
                    <c:extLst>
                      <c:ext uri="{02D57815-91ED-43cb-92C2-25804820EDAC}">
                        <c15:formulaRef>
                          <c15:sqref>'COLUMN CHART'!$C$11:$F$11</c15:sqref>
                        </c15:formulaRef>
                      </c:ext>
                    </c:extLst>
                    <c:strCache>
                      <c:ptCount val="4"/>
                      <c:pt idx="0">
                        <c:v>Q1 Sales ($)</c:v>
                      </c:pt>
                      <c:pt idx="1">
                        <c:v>Q2 Sales ($)</c:v>
                      </c:pt>
                      <c:pt idx="2">
                        <c:v>Q3 Sales ($)</c:v>
                      </c:pt>
                      <c:pt idx="3">
                        <c:v>Q4 Sales ($)</c:v>
                      </c:pt>
                    </c:strCache>
                  </c:strRef>
                </c15:cat>
              </c15:filteredCategoryTitle>
            </c:ext>
            <c:ext xmlns:c16="http://schemas.microsoft.com/office/drawing/2014/chart" uri="{C3380CC4-5D6E-409C-BE32-E72D297353CC}">
              <c16:uniqueId val="{00000000-81B6-4849-BBA1-74D5D180E923}"/>
            </c:ext>
          </c:extLst>
        </c:ser>
        <c:ser>
          <c:idx val="1"/>
          <c:order val="1"/>
          <c:tx>
            <c:strRef>
              <c:f>'COLUMN CHART'!$B$13</c:f>
              <c:strCache>
                <c:ptCount val="1"/>
                <c:pt idx="0">
                  <c:v>Europe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'COLUMN CHART'!$C$13:$F$13</c:f>
              <c:numCache>
                <c:formatCode>[$$-409]#,##0</c:formatCode>
                <c:ptCount val="4"/>
                <c:pt idx="0">
                  <c:v>40000</c:v>
                </c:pt>
                <c:pt idx="1">
                  <c:v>45000</c:v>
                </c:pt>
                <c:pt idx="2">
                  <c:v>47000</c:v>
                </c:pt>
                <c:pt idx="3">
                  <c:v>50000</c:v>
                </c:pt>
              </c:numCache>
            </c:numRef>
          </c:val>
          <c:extLst>
            <c:ext xmlns:c15="http://schemas.microsoft.com/office/drawing/2012/chart" uri="{02D57815-91ED-43cb-92C2-25804820EDAC}">
              <c15:filteredCategoryTitle>
                <c15:cat>
                  <c:strRef>
                    <c:extLst>
                      <c:ext uri="{02D57815-91ED-43cb-92C2-25804820EDAC}">
                        <c15:formulaRef>
                          <c15:sqref>'COLUMN CHART'!$C$11:$F$11</c15:sqref>
                        </c15:formulaRef>
                      </c:ext>
                    </c:extLst>
                    <c:strCache>
                      <c:ptCount val="4"/>
                      <c:pt idx="0">
                        <c:v>Q1 Sales ($)</c:v>
                      </c:pt>
                      <c:pt idx="1">
                        <c:v>Q2 Sales ($)</c:v>
                      </c:pt>
                      <c:pt idx="2">
                        <c:v>Q3 Sales ($)</c:v>
                      </c:pt>
                      <c:pt idx="3">
                        <c:v>Q4 Sales ($)</c:v>
                      </c:pt>
                    </c:strCache>
                  </c:strRef>
                </c15:cat>
              </c15:filteredCategoryTitle>
            </c:ext>
            <c:ext xmlns:c16="http://schemas.microsoft.com/office/drawing/2014/chart" uri="{C3380CC4-5D6E-409C-BE32-E72D297353CC}">
              <c16:uniqueId val="{00000001-81B6-4849-BBA1-74D5D180E923}"/>
            </c:ext>
          </c:extLst>
        </c:ser>
        <c:ser>
          <c:idx val="2"/>
          <c:order val="2"/>
          <c:tx>
            <c:strRef>
              <c:f>'COLUMN CHART'!$B$14</c:f>
              <c:strCache>
                <c:ptCount val="1"/>
                <c:pt idx="0">
                  <c:v>Asia Pacific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'COLUMN CHART'!$C$14:$F$14</c:f>
              <c:numCache>
                <c:formatCode>[$$-409]#,##0</c:formatCode>
                <c:ptCount val="4"/>
                <c:pt idx="0">
                  <c:v>35000</c:v>
                </c:pt>
                <c:pt idx="1">
                  <c:v>37000</c:v>
                </c:pt>
                <c:pt idx="2">
                  <c:v>39000</c:v>
                </c:pt>
                <c:pt idx="3">
                  <c:v>42000</c:v>
                </c:pt>
              </c:numCache>
            </c:numRef>
          </c:val>
          <c:extLst>
            <c:ext xmlns:c15="http://schemas.microsoft.com/office/drawing/2012/chart" uri="{02D57815-91ED-43cb-92C2-25804820EDAC}">
              <c15:filteredCategoryTitle>
                <c15:cat>
                  <c:strRef>
                    <c:extLst>
                      <c:ext uri="{02D57815-91ED-43cb-92C2-25804820EDAC}">
                        <c15:formulaRef>
                          <c15:sqref>'COLUMN CHART'!$C$11:$F$11</c15:sqref>
                        </c15:formulaRef>
                      </c:ext>
                    </c:extLst>
                    <c:strCache>
                      <c:ptCount val="4"/>
                      <c:pt idx="0">
                        <c:v>Q1 Sales ($)</c:v>
                      </c:pt>
                      <c:pt idx="1">
                        <c:v>Q2 Sales ($)</c:v>
                      </c:pt>
                      <c:pt idx="2">
                        <c:v>Q3 Sales ($)</c:v>
                      </c:pt>
                      <c:pt idx="3">
                        <c:v>Q4 Sales ($)</c:v>
                      </c:pt>
                    </c:strCache>
                  </c:strRef>
                </c15:cat>
              </c15:filteredCategoryTitle>
            </c:ext>
            <c:ext xmlns:c16="http://schemas.microsoft.com/office/drawing/2014/chart" uri="{C3380CC4-5D6E-409C-BE32-E72D297353CC}">
              <c16:uniqueId val="{00000002-81B6-4849-BBA1-74D5D180E923}"/>
            </c:ext>
          </c:extLst>
        </c:ser>
        <c:ser>
          <c:idx val="3"/>
          <c:order val="3"/>
          <c:tx>
            <c:strRef>
              <c:f>'COLUMN CHART'!$B$15</c:f>
              <c:strCache>
                <c:ptCount val="1"/>
                <c:pt idx="0">
                  <c:v>Latin America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'COLUMN CHART'!$C$15:$F$15</c:f>
              <c:numCache>
                <c:formatCode>[$$-409]#,##0</c:formatCode>
                <c:ptCount val="4"/>
                <c:pt idx="0">
                  <c:v>20000</c:v>
                </c:pt>
                <c:pt idx="1">
                  <c:v>21000</c:v>
                </c:pt>
                <c:pt idx="2">
                  <c:v>22000</c:v>
                </c:pt>
                <c:pt idx="3">
                  <c:v>23000</c:v>
                </c:pt>
              </c:numCache>
            </c:numRef>
          </c:val>
          <c:extLst>
            <c:ext xmlns:c15="http://schemas.microsoft.com/office/drawing/2012/chart" uri="{02D57815-91ED-43cb-92C2-25804820EDAC}">
              <c15:filteredCategoryTitle>
                <c15:cat>
                  <c:strRef>
                    <c:extLst>
                      <c:ext uri="{02D57815-91ED-43cb-92C2-25804820EDAC}">
                        <c15:formulaRef>
                          <c15:sqref>'COLUMN CHART'!$C$11:$F$11</c15:sqref>
                        </c15:formulaRef>
                      </c:ext>
                    </c:extLst>
                    <c:strCache>
                      <c:ptCount val="4"/>
                      <c:pt idx="0">
                        <c:v>Q1 Sales ($)</c:v>
                      </c:pt>
                      <c:pt idx="1">
                        <c:v>Q2 Sales ($)</c:v>
                      </c:pt>
                      <c:pt idx="2">
                        <c:v>Q3 Sales ($)</c:v>
                      </c:pt>
                      <c:pt idx="3">
                        <c:v>Q4 Sales ($)</c:v>
                      </c:pt>
                    </c:strCache>
                  </c:strRef>
                </c15:cat>
              </c15:filteredCategoryTitle>
            </c:ext>
            <c:ext xmlns:c16="http://schemas.microsoft.com/office/drawing/2014/chart" uri="{C3380CC4-5D6E-409C-BE32-E72D297353CC}">
              <c16:uniqueId val="{00000003-81B6-4849-BBA1-74D5D180E923}"/>
            </c:ext>
          </c:extLst>
        </c:ser>
        <c:ser>
          <c:idx val="4"/>
          <c:order val="4"/>
          <c:tx>
            <c:strRef>
              <c:f>'COLUMN CHART'!$B$16</c:f>
              <c:strCache>
                <c:ptCount val="1"/>
                <c:pt idx="0">
                  <c:v>Middle East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'COLUMN CHART'!$C$16:$F$16</c:f>
              <c:numCache>
                <c:formatCode>[$$-409]#,##0</c:formatCode>
                <c:ptCount val="4"/>
                <c:pt idx="0">
                  <c:v>15000</c:v>
                </c:pt>
                <c:pt idx="1">
                  <c:v>16000</c:v>
                </c:pt>
                <c:pt idx="2">
                  <c:v>17000</c:v>
                </c:pt>
                <c:pt idx="3">
                  <c:v>18000</c:v>
                </c:pt>
              </c:numCache>
            </c:numRef>
          </c:val>
          <c:extLst>
            <c:ext xmlns:c15="http://schemas.microsoft.com/office/drawing/2012/chart" uri="{02D57815-91ED-43cb-92C2-25804820EDAC}">
              <c15:filteredCategoryTitle>
                <c15:cat>
                  <c:strRef>
                    <c:extLst>
                      <c:ext uri="{02D57815-91ED-43cb-92C2-25804820EDAC}">
                        <c15:formulaRef>
                          <c15:sqref>'COLUMN CHART'!$C$11:$F$11</c15:sqref>
                        </c15:formulaRef>
                      </c:ext>
                    </c:extLst>
                    <c:strCache>
                      <c:ptCount val="4"/>
                      <c:pt idx="0">
                        <c:v>Q1 Sales ($)</c:v>
                      </c:pt>
                      <c:pt idx="1">
                        <c:v>Q2 Sales ($)</c:v>
                      </c:pt>
                      <c:pt idx="2">
                        <c:v>Q3 Sales ($)</c:v>
                      </c:pt>
                      <c:pt idx="3">
                        <c:v>Q4 Sales ($)</c:v>
                      </c:pt>
                    </c:strCache>
                  </c:strRef>
                </c15:cat>
              </c15:filteredCategoryTitle>
            </c:ext>
            <c:ext xmlns:c16="http://schemas.microsoft.com/office/drawing/2014/chart" uri="{C3380CC4-5D6E-409C-BE32-E72D297353CC}">
              <c16:uniqueId val="{00000004-81B6-4849-BBA1-74D5D180E923}"/>
            </c:ext>
          </c:extLst>
        </c:ser>
        <c:dLbls>
          <c:dLblPos val="outEnd"/>
          <c:showLegendKey val="0"/>
          <c:showVal val="1"/>
          <c:showCatName val="0"/>
          <c:showSerName val="0"/>
          <c:showPercent val="0"/>
          <c:showBubbleSize val="0"/>
        </c:dLbls>
        <c:gapWidth val="100"/>
        <c:overlap val="-24"/>
        <c:axId val="584450304"/>
        <c:axId val="584447424"/>
      </c:barChart>
      <c:catAx>
        <c:axId val="584450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QUARTERLY</a:t>
                </a:r>
                <a:r>
                  <a:rPr lang="en-IN" baseline="0"/>
                  <a:t> SALES</a:t>
                </a:r>
                <a:endParaRPr lang="en-IN"/>
              </a:p>
            </c:rich>
          </c:tx>
          <c:overlay val="0"/>
          <c:spPr>
            <a:noFill/>
            <a:ln>
              <a:noFill/>
            </a:ln>
            <a:effectLst/>
          </c:sp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447424"/>
        <c:crosses val="autoZero"/>
        <c:auto val="1"/>
        <c:lblAlgn val="ctr"/>
        <c:lblOffset val="100"/>
        <c:noMultiLvlLbl val="0"/>
      </c:catAx>
      <c:valAx>
        <c:axId val="584447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AMOUNT</a:t>
                </a:r>
              </a:p>
            </c:rich>
          </c:tx>
          <c:layout>
            <c:manualLayout>
              <c:xMode val="edge"/>
              <c:yMode val="edge"/>
              <c:x val="9.7310699891764458E-3"/>
              <c:y val="0.39173580463944407"/>
            </c:manualLayout>
          </c:layout>
          <c:overlay val="0"/>
          <c:spPr>
            <a:noFill/>
            <a:ln>
              <a:noFill/>
            </a:ln>
            <a:effectLst/>
          </c:sp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45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REPORT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'COLUMN CHART'!$C$36</c:f>
              <c:strCache>
                <c:ptCount val="1"/>
                <c:pt idx="0">
                  <c:v>Sales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8"/>
              <c:layout>
                <c:manualLayout>
                  <c:x val="-7.9176234699389538E-17"/>
                  <c:y val="-1.02372709209110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508-44D3-9D30-69122E09C1BB}"/>
                </c:ext>
              </c:extLst>
            </c:dLbl>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CHART'!$B$37:$B$48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'COLUMN CHART'!$C$37:$C$48</c:f>
              <c:numCache>
                <c:formatCode>"₹"\ #,##0</c:formatCode>
                <c:ptCount val="12"/>
                <c:pt idx="0">
                  <c:v>50000</c:v>
                </c:pt>
                <c:pt idx="1">
                  <c:v>55000</c:v>
                </c:pt>
                <c:pt idx="2">
                  <c:v>60000</c:v>
                </c:pt>
                <c:pt idx="3">
                  <c:v>65000</c:v>
                </c:pt>
                <c:pt idx="4">
                  <c:v>70000</c:v>
                </c:pt>
                <c:pt idx="5">
                  <c:v>75000</c:v>
                </c:pt>
                <c:pt idx="6">
                  <c:v>80000</c:v>
                </c:pt>
                <c:pt idx="7">
                  <c:v>85000</c:v>
                </c:pt>
                <c:pt idx="8">
                  <c:v>90000</c:v>
                </c:pt>
                <c:pt idx="9">
                  <c:v>95000</c:v>
                </c:pt>
                <c:pt idx="10">
                  <c:v>100000</c:v>
                </c:pt>
                <c:pt idx="11">
                  <c:v>105000</c:v>
                </c:pt>
              </c:numCache>
            </c:numRef>
          </c:val>
          <c:extLst>
            <c:ext xmlns:c16="http://schemas.microsoft.com/office/drawing/2014/chart" uri="{C3380CC4-5D6E-409C-BE32-E72D297353CC}">
              <c16:uniqueId val="{00000000-4508-44D3-9D30-69122E09C1BB}"/>
            </c:ext>
          </c:extLst>
        </c:ser>
        <c:ser>
          <c:idx val="1"/>
          <c:order val="1"/>
          <c:tx>
            <c:strRef>
              <c:f>'COLUMN CHART'!$D$36</c:f>
              <c:strCache>
                <c:ptCount val="1"/>
                <c:pt idx="0">
                  <c:v>loss due to (expired)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1.9794058674847385E-17"/>
                  <c:y val="-7.16608964463773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4508-44D3-9D30-69122E09C1BB}"/>
                </c:ext>
              </c:extLst>
            </c:dLbl>
            <c:dLbl>
              <c:idx val="1"/>
              <c:layout>
                <c:manualLayout>
                  <c:x val="-4.3187536009096101E-3"/>
                  <c:y val="-7.84857437269846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4508-44D3-9D30-69122E09C1BB}"/>
                </c:ext>
              </c:extLst>
            </c:dLbl>
            <c:dLbl>
              <c:idx val="2"/>
              <c:layout>
                <c:manualLayout>
                  <c:x val="-5.3984420011370278E-3"/>
                  <c:y val="-7.848574372698467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4508-44D3-9D30-69122E09C1BB}"/>
                </c:ext>
              </c:extLst>
            </c:dLbl>
            <c:dLbl>
              <c:idx val="3"/>
              <c:layout>
                <c:manualLayout>
                  <c:x val="-8.637507201819182E-3"/>
                  <c:y val="-9.5547861928503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4508-44D3-9D30-69122E09C1BB}"/>
                </c:ext>
              </c:extLst>
            </c:dLbl>
            <c:dLbl>
              <c:idx val="4"/>
              <c:layout>
                <c:manualLayout>
                  <c:x val="-1.0796884002274769E-3"/>
                  <c:y val="-8.87230146478956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508-44D3-9D30-69122E09C1BB}"/>
                </c:ext>
              </c:extLst>
            </c:dLbl>
            <c:dLbl>
              <c:idx val="5"/>
              <c:layout>
                <c:manualLayout>
                  <c:x val="-3.2390652006822722E-3"/>
                  <c:y val="-7.848574372698467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4508-44D3-9D30-69122E09C1BB}"/>
                </c:ext>
              </c:extLst>
            </c:dLbl>
            <c:dLbl>
              <c:idx val="6"/>
              <c:layout>
                <c:manualLayout>
                  <c:x val="-3.2390652006821928E-3"/>
                  <c:y val="-8.531059100759197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4508-44D3-9D30-69122E09C1BB}"/>
                </c:ext>
              </c:extLst>
            </c:dLbl>
            <c:dLbl>
              <c:idx val="7"/>
              <c:layout>
                <c:manualLayout>
                  <c:x val="-3.2390652006821928E-3"/>
                  <c:y val="-8.87230146478956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4508-44D3-9D30-69122E09C1BB}"/>
                </c:ext>
              </c:extLst>
            </c:dLbl>
            <c:dLbl>
              <c:idx val="8"/>
              <c:layout>
                <c:manualLayout>
                  <c:x val="-2.1593768004547161E-3"/>
                  <c:y val="-8.87230146478956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4508-44D3-9D30-69122E09C1BB}"/>
                </c:ext>
              </c:extLst>
            </c:dLbl>
            <c:dLbl>
              <c:idx val="9"/>
              <c:layout>
                <c:manualLayout>
                  <c:x val="-1.5835246939877908E-16"/>
                  <c:y val="-7.16608964463772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508-44D3-9D30-69122E09C1BB}"/>
                </c:ext>
              </c:extLst>
            </c:dLbl>
            <c:dLbl>
              <c:idx val="10"/>
              <c:layout>
                <c:manualLayout>
                  <c:x val="-1.0796884002273978E-3"/>
                  <c:y val="-9.55478619285030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508-44D3-9D30-69122E09C1BB}"/>
                </c:ext>
              </c:extLst>
            </c:dLbl>
            <c:dLbl>
              <c:idx val="11"/>
              <c:layout>
                <c:manualLayout>
                  <c:x val="-4.318753600909591E-3"/>
                  <c:y val="-7.84857437269846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4508-44D3-9D30-69122E09C1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CHART'!$B$37:$B$48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'COLUMN CHART'!$D$37:$D$48</c:f>
              <c:numCache>
                <c:formatCode>"₹"\ #,##0.00</c:formatCode>
                <c:ptCount val="12"/>
                <c:pt idx="0">
                  <c:v>10000</c:v>
                </c:pt>
                <c:pt idx="1">
                  <c:v>9000</c:v>
                </c:pt>
                <c:pt idx="2">
                  <c:v>7500</c:v>
                </c:pt>
                <c:pt idx="3">
                  <c:v>12500</c:v>
                </c:pt>
                <c:pt idx="4">
                  <c:v>11000</c:v>
                </c:pt>
                <c:pt idx="5">
                  <c:v>10000</c:v>
                </c:pt>
                <c:pt idx="6">
                  <c:v>9000</c:v>
                </c:pt>
                <c:pt idx="7">
                  <c:v>15000</c:v>
                </c:pt>
                <c:pt idx="8">
                  <c:v>14000</c:v>
                </c:pt>
                <c:pt idx="9">
                  <c:v>12500</c:v>
                </c:pt>
                <c:pt idx="10">
                  <c:v>11000</c:v>
                </c:pt>
                <c:pt idx="11">
                  <c:v>10000</c:v>
                </c:pt>
              </c:numCache>
            </c:numRef>
          </c:val>
          <c:extLst>
            <c:ext xmlns:c16="http://schemas.microsoft.com/office/drawing/2014/chart" uri="{C3380CC4-5D6E-409C-BE32-E72D297353CC}">
              <c16:uniqueId val="{00000001-4508-44D3-9D30-69122E09C1BB}"/>
            </c:ext>
          </c:extLst>
        </c:ser>
        <c:dLbls>
          <c:dLblPos val="ctr"/>
          <c:showLegendKey val="0"/>
          <c:showVal val="1"/>
          <c:showCatName val="0"/>
          <c:showSerName val="0"/>
          <c:showPercent val="0"/>
          <c:showBubbleSize val="0"/>
        </c:dLbls>
        <c:gapWidth val="150"/>
        <c:overlap val="100"/>
        <c:axId val="786714480"/>
        <c:axId val="786717000"/>
      </c:barChart>
      <c:catAx>
        <c:axId val="786714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6717000"/>
        <c:crosses val="autoZero"/>
        <c:auto val="1"/>
        <c:lblAlgn val="ctr"/>
        <c:lblOffset val="100"/>
        <c:noMultiLvlLbl val="0"/>
      </c:catAx>
      <c:valAx>
        <c:axId val="7867170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671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Trends in Gold Supply, Demand</a:t>
            </a:r>
            <a:r>
              <a:rPr lang="en-IN" baseline="0"/>
              <a:t>   </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CHART'!$C$10</c:f>
              <c:strCache>
                <c:ptCount val="1"/>
                <c:pt idx="0">
                  <c:v>Supply (tons)</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'LINE CHART'!$B$11:$B$20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xVal>
          <c:yVal>
            <c:numRef>
              <c:f>'LINE CHART'!$C$11:$C$20</c:f>
              <c:numCache>
                <c:formatCode>General</c:formatCode>
                <c:ptCount val="10"/>
                <c:pt idx="0">
                  <c:v>2800</c:v>
                </c:pt>
                <c:pt idx="1">
                  <c:v>2750</c:v>
                </c:pt>
                <c:pt idx="2">
                  <c:v>2900</c:v>
                </c:pt>
                <c:pt idx="3">
                  <c:v>3000</c:v>
                </c:pt>
                <c:pt idx="4">
                  <c:v>2950</c:v>
                </c:pt>
                <c:pt idx="5">
                  <c:v>3100</c:v>
                </c:pt>
                <c:pt idx="6">
                  <c:v>3200</c:v>
                </c:pt>
                <c:pt idx="7">
                  <c:v>3150</c:v>
                </c:pt>
                <c:pt idx="8">
                  <c:v>3300</c:v>
                </c:pt>
                <c:pt idx="9">
                  <c:v>3350</c:v>
                </c:pt>
              </c:numCache>
            </c:numRef>
          </c:yVal>
          <c:smooth val="0"/>
          <c:extLst>
            <c:ext xmlns:c16="http://schemas.microsoft.com/office/drawing/2014/chart" uri="{C3380CC4-5D6E-409C-BE32-E72D297353CC}">
              <c16:uniqueId val="{00000000-C9D3-4059-A435-077C937EA86C}"/>
            </c:ext>
          </c:extLst>
        </c:ser>
        <c:ser>
          <c:idx val="1"/>
          <c:order val="1"/>
          <c:tx>
            <c:strRef>
              <c:f>'LINE CHART'!$D$10</c:f>
              <c:strCache>
                <c:ptCount val="1"/>
                <c:pt idx="0">
                  <c:v>Demand (tons)</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'LINE CHART'!$B$11:$B$20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xVal>
          <c:yVal>
            <c:numRef>
              <c:f>'LINE CHART'!$D$11:$D$20</c:f>
              <c:numCache>
                <c:formatCode>General</c:formatCode>
                <c:ptCount val="10"/>
                <c:pt idx="0">
                  <c:v>3000</c:v>
                </c:pt>
                <c:pt idx="1">
                  <c:v>3100</c:v>
                </c:pt>
                <c:pt idx="2">
                  <c:v>3200</c:v>
                </c:pt>
                <c:pt idx="3">
                  <c:v>3300</c:v>
                </c:pt>
                <c:pt idx="4">
                  <c:v>3350</c:v>
                </c:pt>
                <c:pt idx="5">
                  <c:v>3400</c:v>
                </c:pt>
                <c:pt idx="6">
                  <c:v>3450</c:v>
                </c:pt>
                <c:pt idx="7">
                  <c:v>3500</c:v>
                </c:pt>
                <c:pt idx="8">
                  <c:v>3550</c:v>
                </c:pt>
                <c:pt idx="9">
                  <c:v>3600</c:v>
                </c:pt>
              </c:numCache>
            </c:numRef>
          </c:yVal>
          <c:smooth val="0"/>
          <c:extLst>
            <c:ext xmlns:c16="http://schemas.microsoft.com/office/drawing/2014/chart" uri="{C3380CC4-5D6E-409C-BE32-E72D297353CC}">
              <c16:uniqueId val="{00000001-C9D3-4059-A435-077C937EA86C}"/>
            </c:ext>
          </c:extLst>
        </c:ser>
        <c:dLbls>
          <c:showLegendKey val="0"/>
          <c:showVal val="0"/>
          <c:showCatName val="0"/>
          <c:showSerName val="0"/>
          <c:showPercent val="0"/>
          <c:showBubbleSize val="0"/>
        </c:dLbls>
        <c:axId val="786711240"/>
        <c:axId val="786713400"/>
      </c:scatterChart>
      <c:valAx>
        <c:axId val="78671124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6713400"/>
        <c:crosses val="autoZero"/>
        <c:crossBetween val="midCat"/>
      </c:valAx>
      <c:valAx>
        <c:axId val="786713400"/>
        <c:scaling>
          <c:orientation val="minMax"/>
          <c:max val="5000"/>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WEIGHT</a:t>
                </a:r>
                <a:r>
                  <a:rPr lang="en-IN" baseline="0"/>
                  <a:t> (</a:t>
                </a:r>
                <a:r>
                  <a:rPr lang="en-IN"/>
                  <a:t>TONS)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67112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DELHI</a:t>
            </a:r>
            <a:r>
              <a:rPr lang="en-IN" baseline="0"/>
              <a:t>'S TEMPERATURE REPORT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CHART'!$C$80</c:f>
              <c:strCache>
                <c:ptCount val="1"/>
                <c:pt idx="0">
                  <c:v>MIN TEMPERATURE</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'LINE CHART'!$B$81:$B$194</c:f>
              <c:numCache>
                <c:formatCode>[$-F800]dddd\,\ mmmm\ dd\,\ yyyy</c:formatCode>
                <c:ptCount val="114"/>
                <c:pt idx="0">
                  <c:v>45345</c:v>
                </c:pt>
                <c:pt idx="1">
                  <c:v>45346</c:v>
                </c:pt>
                <c:pt idx="2">
                  <c:v>45347</c:v>
                </c:pt>
                <c:pt idx="3">
                  <c:v>45348</c:v>
                </c:pt>
                <c:pt idx="4">
                  <c:v>45349</c:v>
                </c:pt>
                <c:pt idx="5">
                  <c:v>45350</c:v>
                </c:pt>
                <c:pt idx="6">
                  <c:v>45351</c:v>
                </c:pt>
                <c:pt idx="7">
                  <c:v>45352</c:v>
                </c:pt>
                <c:pt idx="8">
                  <c:v>45353</c:v>
                </c:pt>
                <c:pt idx="9">
                  <c:v>45354</c:v>
                </c:pt>
                <c:pt idx="10">
                  <c:v>45355</c:v>
                </c:pt>
                <c:pt idx="11">
                  <c:v>45356</c:v>
                </c:pt>
                <c:pt idx="12">
                  <c:v>45357</c:v>
                </c:pt>
                <c:pt idx="13">
                  <c:v>45358</c:v>
                </c:pt>
                <c:pt idx="14">
                  <c:v>45359</c:v>
                </c:pt>
                <c:pt idx="15">
                  <c:v>45360</c:v>
                </c:pt>
                <c:pt idx="16">
                  <c:v>45361</c:v>
                </c:pt>
                <c:pt idx="17">
                  <c:v>45362</c:v>
                </c:pt>
                <c:pt idx="18">
                  <c:v>45363</c:v>
                </c:pt>
                <c:pt idx="19">
                  <c:v>45364</c:v>
                </c:pt>
                <c:pt idx="20">
                  <c:v>45365</c:v>
                </c:pt>
                <c:pt idx="21">
                  <c:v>45366</c:v>
                </c:pt>
                <c:pt idx="22">
                  <c:v>45367</c:v>
                </c:pt>
                <c:pt idx="23">
                  <c:v>45368</c:v>
                </c:pt>
                <c:pt idx="24">
                  <c:v>45369</c:v>
                </c:pt>
                <c:pt idx="25">
                  <c:v>45370</c:v>
                </c:pt>
                <c:pt idx="26">
                  <c:v>45371</c:v>
                </c:pt>
                <c:pt idx="27">
                  <c:v>45372</c:v>
                </c:pt>
                <c:pt idx="28">
                  <c:v>45373</c:v>
                </c:pt>
                <c:pt idx="29">
                  <c:v>45374</c:v>
                </c:pt>
                <c:pt idx="30">
                  <c:v>45375</c:v>
                </c:pt>
                <c:pt idx="31">
                  <c:v>45376</c:v>
                </c:pt>
                <c:pt idx="32">
                  <c:v>45377</c:v>
                </c:pt>
                <c:pt idx="33">
                  <c:v>45378</c:v>
                </c:pt>
                <c:pt idx="34">
                  <c:v>45379</c:v>
                </c:pt>
                <c:pt idx="35">
                  <c:v>45380</c:v>
                </c:pt>
                <c:pt idx="36">
                  <c:v>45381</c:v>
                </c:pt>
                <c:pt idx="37">
                  <c:v>45382</c:v>
                </c:pt>
                <c:pt idx="38">
                  <c:v>45383</c:v>
                </c:pt>
                <c:pt idx="39">
                  <c:v>45384</c:v>
                </c:pt>
                <c:pt idx="40">
                  <c:v>45385</c:v>
                </c:pt>
                <c:pt idx="41">
                  <c:v>45386</c:v>
                </c:pt>
                <c:pt idx="42">
                  <c:v>45387</c:v>
                </c:pt>
                <c:pt idx="43">
                  <c:v>45388</c:v>
                </c:pt>
                <c:pt idx="44">
                  <c:v>45389</c:v>
                </c:pt>
                <c:pt idx="45">
                  <c:v>45390</c:v>
                </c:pt>
                <c:pt idx="46">
                  <c:v>45391</c:v>
                </c:pt>
                <c:pt idx="47">
                  <c:v>45392</c:v>
                </c:pt>
                <c:pt idx="48">
                  <c:v>45393</c:v>
                </c:pt>
                <c:pt idx="49">
                  <c:v>45394</c:v>
                </c:pt>
                <c:pt idx="50">
                  <c:v>45395</c:v>
                </c:pt>
                <c:pt idx="51">
                  <c:v>45396</c:v>
                </c:pt>
                <c:pt idx="52">
                  <c:v>45397</c:v>
                </c:pt>
                <c:pt idx="53">
                  <c:v>45398</c:v>
                </c:pt>
                <c:pt idx="54">
                  <c:v>45399</c:v>
                </c:pt>
                <c:pt idx="55">
                  <c:v>45400</c:v>
                </c:pt>
                <c:pt idx="56">
                  <c:v>45401</c:v>
                </c:pt>
                <c:pt idx="57">
                  <c:v>45402</c:v>
                </c:pt>
                <c:pt idx="58">
                  <c:v>45403</c:v>
                </c:pt>
                <c:pt idx="59">
                  <c:v>45404</c:v>
                </c:pt>
                <c:pt idx="60">
                  <c:v>45405</c:v>
                </c:pt>
                <c:pt idx="61">
                  <c:v>45406</c:v>
                </c:pt>
                <c:pt idx="62">
                  <c:v>45407</c:v>
                </c:pt>
                <c:pt idx="63">
                  <c:v>45408</c:v>
                </c:pt>
                <c:pt idx="64">
                  <c:v>45409</c:v>
                </c:pt>
                <c:pt idx="65">
                  <c:v>45410</c:v>
                </c:pt>
                <c:pt idx="66">
                  <c:v>45411</c:v>
                </c:pt>
                <c:pt idx="67">
                  <c:v>45412</c:v>
                </c:pt>
                <c:pt idx="68">
                  <c:v>45413</c:v>
                </c:pt>
                <c:pt idx="69">
                  <c:v>45414</c:v>
                </c:pt>
                <c:pt idx="70">
                  <c:v>45415</c:v>
                </c:pt>
                <c:pt idx="71">
                  <c:v>45416</c:v>
                </c:pt>
                <c:pt idx="72">
                  <c:v>45417</c:v>
                </c:pt>
                <c:pt idx="73">
                  <c:v>45418</c:v>
                </c:pt>
                <c:pt idx="74">
                  <c:v>45419</c:v>
                </c:pt>
                <c:pt idx="75">
                  <c:v>45420</c:v>
                </c:pt>
                <c:pt idx="76">
                  <c:v>45421</c:v>
                </c:pt>
                <c:pt idx="77">
                  <c:v>45422</c:v>
                </c:pt>
                <c:pt idx="78">
                  <c:v>45423</c:v>
                </c:pt>
                <c:pt idx="79">
                  <c:v>45424</c:v>
                </c:pt>
                <c:pt idx="80">
                  <c:v>45425</c:v>
                </c:pt>
                <c:pt idx="81">
                  <c:v>45426</c:v>
                </c:pt>
                <c:pt idx="82">
                  <c:v>45427</c:v>
                </c:pt>
                <c:pt idx="83">
                  <c:v>45428</c:v>
                </c:pt>
                <c:pt idx="84">
                  <c:v>45429</c:v>
                </c:pt>
                <c:pt idx="85">
                  <c:v>45430</c:v>
                </c:pt>
                <c:pt idx="86">
                  <c:v>45431</c:v>
                </c:pt>
                <c:pt idx="87">
                  <c:v>45432</c:v>
                </c:pt>
                <c:pt idx="88">
                  <c:v>45433</c:v>
                </c:pt>
                <c:pt idx="89">
                  <c:v>45434</c:v>
                </c:pt>
                <c:pt idx="90">
                  <c:v>45435</c:v>
                </c:pt>
                <c:pt idx="91">
                  <c:v>45436</c:v>
                </c:pt>
                <c:pt idx="92">
                  <c:v>45437</c:v>
                </c:pt>
                <c:pt idx="93">
                  <c:v>45438</c:v>
                </c:pt>
                <c:pt idx="94">
                  <c:v>45439</c:v>
                </c:pt>
                <c:pt idx="95">
                  <c:v>45440</c:v>
                </c:pt>
                <c:pt idx="96">
                  <c:v>45441</c:v>
                </c:pt>
                <c:pt idx="97">
                  <c:v>45442</c:v>
                </c:pt>
                <c:pt idx="98">
                  <c:v>45443</c:v>
                </c:pt>
                <c:pt idx="99">
                  <c:v>45444</c:v>
                </c:pt>
                <c:pt idx="100">
                  <c:v>45445</c:v>
                </c:pt>
                <c:pt idx="101">
                  <c:v>45446</c:v>
                </c:pt>
                <c:pt idx="102">
                  <c:v>45447</c:v>
                </c:pt>
                <c:pt idx="103">
                  <c:v>45448</c:v>
                </c:pt>
                <c:pt idx="104">
                  <c:v>45449</c:v>
                </c:pt>
                <c:pt idx="105">
                  <c:v>45450</c:v>
                </c:pt>
                <c:pt idx="106">
                  <c:v>45451</c:v>
                </c:pt>
                <c:pt idx="107">
                  <c:v>45452</c:v>
                </c:pt>
                <c:pt idx="108">
                  <c:v>45453</c:v>
                </c:pt>
                <c:pt idx="109">
                  <c:v>45454</c:v>
                </c:pt>
                <c:pt idx="110">
                  <c:v>45455</c:v>
                </c:pt>
                <c:pt idx="111">
                  <c:v>45456</c:v>
                </c:pt>
                <c:pt idx="112">
                  <c:v>45457</c:v>
                </c:pt>
                <c:pt idx="113">
                  <c:v>45458</c:v>
                </c:pt>
              </c:numCache>
            </c:numRef>
          </c:xVal>
          <c:yVal>
            <c:numRef>
              <c:f>'LINE CHART'!$C$81:$C$194</c:f>
              <c:numCache>
                <c:formatCode>General</c:formatCode>
                <c:ptCount val="114"/>
                <c:pt idx="0">
                  <c:v>26.2</c:v>
                </c:pt>
                <c:pt idx="1">
                  <c:v>24.4</c:v>
                </c:pt>
                <c:pt idx="2">
                  <c:v>24.6</c:v>
                </c:pt>
                <c:pt idx="3">
                  <c:v>27</c:v>
                </c:pt>
                <c:pt idx="4">
                  <c:v>25</c:v>
                </c:pt>
                <c:pt idx="5">
                  <c:v>25.4</c:v>
                </c:pt>
                <c:pt idx="6">
                  <c:v>25.5</c:v>
                </c:pt>
                <c:pt idx="7">
                  <c:v>27.6</c:v>
                </c:pt>
                <c:pt idx="8">
                  <c:v>29.6</c:v>
                </c:pt>
                <c:pt idx="9">
                  <c:v>25.2</c:v>
                </c:pt>
                <c:pt idx="10">
                  <c:v>26.2</c:v>
                </c:pt>
                <c:pt idx="11">
                  <c:v>24.9</c:v>
                </c:pt>
                <c:pt idx="12">
                  <c:v>23.4</c:v>
                </c:pt>
                <c:pt idx="13">
                  <c:v>23.6</c:v>
                </c:pt>
                <c:pt idx="14">
                  <c:v>26.4</c:v>
                </c:pt>
                <c:pt idx="15">
                  <c:v>27.4</c:v>
                </c:pt>
                <c:pt idx="16">
                  <c:v>26.9</c:v>
                </c:pt>
                <c:pt idx="17">
                  <c:v>28.4</c:v>
                </c:pt>
                <c:pt idx="18">
                  <c:v>31.4</c:v>
                </c:pt>
                <c:pt idx="19">
                  <c:v>30.9</c:v>
                </c:pt>
                <c:pt idx="20">
                  <c:v>31.4</c:v>
                </c:pt>
                <c:pt idx="21">
                  <c:v>30.4</c:v>
                </c:pt>
                <c:pt idx="22">
                  <c:v>28.7</c:v>
                </c:pt>
                <c:pt idx="23">
                  <c:v>30.3</c:v>
                </c:pt>
                <c:pt idx="24">
                  <c:v>30.8</c:v>
                </c:pt>
                <c:pt idx="25">
                  <c:v>30.6</c:v>
                </c:pt>
                <c:pt idx="26">
                  <c:v>31.3</c:v>
                </c:pt>
                <c:pt idx="27">
                  <c:v>33.6</c:v>
                </c:pt>
                <c:pt idx="28">
                  <c:v>30.1</c:v>
                </c:pt>
                <c:pt idx="29">
                  <c:v>32.6</c:v>
                </c:pt>
                <c:pt idx="30">
                  <c:v>34.1</c:v>
                </c:pt>
                <c:pt idx="31">
                  <c:v>29.8</c:v>
                </c:pt>
                <c:pt idx="32">
                  <c:v>33.200000000000003</c:v>
                </c:pt>
                <c:pt idx="33">
                  <c:v>34.6</c:v>
                </c:pt>
                <c:pt idx="34">
                  <c:v>37</c:v>
                </c:pt>
                <c:pt idx="35">
                  <c:v>37</c:v>
                </c:pt>
                <c:pt idx="36">
                  <c:v>37.799999999999997</c:v>
                </c:pt>
                <c:pt idx="37">
                  <c:v>35.200000000000003</c:v>
                </c:pt>
                <c:pt idx="38">
                  <c:v>35.200000000000003</c:v>
                </c:pt>
                <c:pt idx="39">
                  <c:v>31.6</c:v>
                </c:pt>
                <c:pt idx="40">
                  <c:v>33.5</c:v>
                </c:pt>
                <c:pt idx="41">
                  <c:v>36.6</c:v>
                </c:pt>
                <c:pt idx="42">
                  <c:v>36.799999999999997</c:v>
                </c:pt>
                <c:pt idx="43">
                  <c:v>36.4</c:v>
                </c:pt>
                <c:pt idx="44">
                  <c:v>35.1</c:v>
                </c:pt>
                <c:pt idx="45">
                  <c:v>35.6</c:v>
                </c:pt>
                <c:pt idx="46">
                  <c:v>37.1</c:v>
                </c:pt>
                <c:pt idx="47">
                  <c:v>38</c:v>
                </c:pt>
                <c:pt idx="48">
                  <c:v>39.1</c:v>
                </c:pt>
                <c:pt idx="49">
                  <c:v>39</c:v>
                </c:pt>
                <c:pt idx="50">
                  <c:v>39.4</c:v>
                </c:pt>
                <c:pt idx="51">
                  <c:v>39.299999999999997</c:v>
                </c:pt>
                <c:pt idx="52">
                  <c:v>32.200000000000003</c:v>
                </c:pt>
                <c:pt idx="53">
                  <c:v>35.200000000000003</c:v>
                </c:pt>
                <c:pt idx="54">
                  <c:v>25</c:v>
                </c:pt>
                <c:pt idx="55">
                  <c:v>25</c:v>
                </c:pt>
                <c:pt idx="56">
                  <c:v>39.200000000000003</c:v>
                </c:pt>
                <c:pt idx="57">
                  <c:v>39.4</c:v>
                </c:pt>
                <c:pt idx="58">
                  <c:v>37.200000000000003</c:v>
                </c:pt>
                <c:pt idx="59">
                  <c:v>36.799999999999997</c:v>
                </c:pt>
                <c:pt idx="60">
                  <c:v>37.6</c:v>
                </c:pt>
                <c:pt idx="61">
                  <c:v>36.799999999999997</c:v>
                </c:pt>
                <c:pt idx="62">
                  <c:v>37.5</c:v>
                </c:pt>
                <c:pt idx="63">
                  <c:v>39.4</c:v>
                </c:pt>
                <c:pt idx="64">
                  <c:v>40.5</c:v>
                </c:pt>
                <c:pt idx="65">
                  <c:v>38</c:v>
                </c:pt>
                <c:pt idx="66">
                  <c:v>38.200000000000003</c:v>
                </c:pt>
                <c:pt idx="67">
                  <c:v>38.299999999999997</c:v>
                </c:pt>
                <c:pt idx="68">
                  <c:v>36.5</c:v>
                </c:pt>
                <c:pt idx="69">
                  <c:v>33.700000000000003</c:v>
                </c:pt>
                <c:pt idx="70">
                  <c:v>35.5</c:v>
                </c:pt>
                <c:pt idx="71">
                  <c:v>38.1</c:v>
                </c:pt>
                <c:pt idx="72">
                  <c:v>40.299999999999997</c:v>
                </c:pt>
                <c:pt idx="73">
                  <c:v>41.1</c:v>
                </c:pt>
                <c:pt idx="74">
                  <c:v>40.700000000000003</c:v>
                </c:pt>
                <c:pt idx="75">
                  <c:v>42</c:v>
                </c:pt>
                <c:pt idx="76">
                  <c:v>38.200000000000003</c:v>
                </c:pt>
                <c:pt idx="77">
                  <c:v>38.799999999999997</c:v>
                </c:pt>
                <c:pt idx="78">
                  <c:v>39</c:v>
                </c:pt>
                <c:pt idx="79">
                  <c:v>38.700000000000003</c:v>
                </c:pt>
                <c:pt idx="80">
                  <c:v>39.799999999999997</c:v>
                </c:pt>
                <c:pt idx="81">
                  <c:v>40.200000000000003</c:v>
                </c:pt>
                <c:pt idx="82">
                  <c:v>40.6</c:v>
                </c:pt>
                <c:pt idx="83">
                  <c:v>41.2</c:v>
                </c:pt>
                <c:pt idx="84">
                  <c:v>42.5</c:v>
                </c:pt>
                <c:pt idx="85">
                  <c:v>43.6</c:v>
                </c:pt>
                <c:pt idx="86">
                  <c:v>43.7</c:v>
                </c:pt>
                <c:pt idx="87">
                  <c:v>44.4</c:v>
                </c:pt>
                <c:pt idx="88">
                  <c:v>44.1</c:v>
                </c:pt>
                <c:pt idx="89">
                  <c:v>42.4</c:v>
                </c:pt>
                <c:pt idx="90">
                  <c:v>43.4</c:v>
                </c:pt>
                <c:pt idx="91">
                  <c:v>41</c:v>
                </c:pt>
                <c:pt idx="92">
                  <c:v>41.7</c:v>
                </c:pt>
                <c:pt idx="93">
                  <c:v>43.4</c:v>
                </c:pt>
                <c:pt idx="94">
                  <c:v>45.4</c:v>
                </c:pt>
                <c:pt idx="95">
                  <c:v>45.1</c:v>
                </c:pt>
                <c:pt idx="96">
                  <c:v>45.8</c:v>
                </c:pt>
                <c:pt idx="97">
                  <c:v>46.8</c:v>
                </c:pt>
                <c:pt idx="98">
                  <c:v>45.6</c:v>
                </c:pt>
                <c:pt idx="99">
                  <c:v>45.8</c:v>
                </c:pt>
                <c:pt idx="100">
                  <c:v>44.2</c:v>
                </c:pt>
                <c:pt idx="101">
                  <c:v>42.8</c:v>
                </c:pt>
                <c:pt idx="102">
                  <c:v>44.7</c:v>
                </c:pt>
                <c:pt idx="103">
                  <c:v>43.8</c:v>
                </c:pt>
                <c:pt idx="104">
                  <c:v>44</c:v>
                </c:pt>
                <c:pt idx="105">
                  <c:v>41.2</c:v>
                </c:pt>
                <c:pt idx="106">
                  <c:v>43</c:v>
                </c:pt>
                <c:pt idx="107">
                  <c:v>41.4</c:v>
                </c:pt>
                <c:pt idx="108">
                  <c:v>42.5</c:v>
                </c:pt>
                <c:pt idx="109">
                  <c:v>43.4</c:v>
                </c:pt>
                <c:pt idx="110">
                  <c:v>43.8</c:v>
                </c:pt>
                <c:pt idx="111">
                  <c:v>44.7</c:v>
                </c:pt>
                <c:pt idx="112">
                  <c:v>44.8</c:v>
                </c:pt>
                <c:pt idx="113">
                  <c:v>44</c:v>
                </c:pt>
              </c:numCache>
            </c:numRef>
          </c:yVal>
          <c:smooth val="0"/>
          <c:extLst>
            <c:ext xmlns:c16="http://schemas.microsoft.com/office/drawing/2014/chart" uri="{C3380CC4-5D6E-409C-BE32-E72D297353CC}">
              <c16:uniqueId val="{00000000-DAB6-4BA7-A620-B19F4B1CE98F}"/>
            </c:ext>
          </c:extLst>
        </c:ser>
        <c:ser>
          <c:idx val="1"/>
          <c:order val="1"/>
          <c:tx>
            <c:strRef>
              <c:f>'LINE CHART'!$D$80</c:f>
              <c:strCache>
                <c:ptCount val="1"/>
                <c:pt idx="0">
                  <c:v>MAX TEMPERATURE</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'LINE CHART'!$B$81:$B$194</c:f>
              <c:numCache>
                <c:formatCode>[$-F800]dddd\,\ mmmm\ dd\,\ yyyy</c:formatCode>
                <c:ptCount val="114"/>
                <c:pt idx="0">
                  <c:v>45345</c:v>
                </c:pt>
                <c:pt idx="1">
                  <c:v>45346</c:v>
                </c:pt>
                <c:pt idx="2">
                  <c:v>45347</c:v>
                </c:pt>
                <c:pt idx="3">
                  <c:v>45348</c:v>
                </c:pt>
                <c:pt idx="4">
                  <c:v>45349</c:v>
                </c:pt>
                <c:pt idx="5">
                  <c:v>45350</c:v>
                </c:pt>
                <c:pt idx="6">
                  <c:v>45351</c:v>
                </c:pt>
                <c:pt idx="7">
                  <c:v>45352</c:v>
                </c:pt>
                <c:pt idx="8">
                  <c:v>45353</c:v>
                </c:pt>
                <c:pt idx="9">
                  <c:v>45354</c:v>
                </c:pt>
                <c:pt idx="10">
                  <c:v>45355</c:v>
                </c:pt>
                <c:pt idx="11">
                  <c:v>45356</c:v>
                </c:pt>
                <c:pt idx="12">
                  <c:v>45357</c:v>
                </c:pt>
                <c:pt idx="13">
                  <c:v>45358</c:v>
                </c:pt>
                <c:pt idx="14">
                  <c:v>45359</c:v>
                </c:pt>
                <c:pt idx="15">
                  <c:v>45360</c:v>
                </c:pt>
                <c:pt idx="16">
                  <c:v>45361</c:v>
                </c:pt>
                <c:pt idx="17">
                  <c:v>45362</c:v>
                </c:pt>
                <c:pt idx="18">
                  <c:v>45363</c:v>
                </c:pt>
                <c:pt idx="19">
                  <c:v>45364</c:v>
                </c:pt>
                <c:pt idx="20">
                  <c:v>45365</c:v>
                </c:pt>
                <c:pt idx="21">
                  <c:v>45366</c:v>
                </c:pt>
                <c:pt idx="22">
                  <c:v>45367</c:v>
                </c:pt>
                <c:pt idx="23">
                  <c:v>45368</c:v>
                </c:pt>
                <c:pt idx="24">
                  <c:v>45369</c:v>
                </c:pt>
                <c:pt idx="25">
                  <c:v>45370</c:v>
                </c:pt>
                <c:pt idx="26">
                  <c:v>45371</c:v>
                </c:pt>
                <c:pt idx="27">
                  <c:v>45372</c:v>
                </c:pt>
                <c:pt idx="28">
                  <c:v>45373</c:v>
                </c:pt>
                <c:pt idx="29">
                  <c:v>45374</c:v>
                </c:pt>
                <c:pt idx="30">
                  <c:v>45375</c:v>
                </c:pt>
                <c:pt idx="31">
                  <c:v>45376</c:v>
                </c:pt>
                <c:pt idx="32">
                  <c:v>45377</c:v>
                </c:pt>
                <c:pt idx="33">
                  <c:v>45378</c:v>
                </c:pt>
                <c:pt idx="34">
                  <c:v>45379</c:v>
                </c:pt>
                <c:pt idx="35">
                  <c:v>45380</c:v>
                </c:pt>
                <c:pt idx="36">
                  <c:v>45381</c:v>
                </c:pt>
                <c:pt idx="37">
                  <c:v>45382</c:v>
                </c:pt>
                <c:pt idx="38">
                  <c:v>45383</c:v>
                </c:pt>
                <c:pt idx="39">
                  <c:v>45384</c:v>
                </c:pt>
                <c:pt idx="40">
                  <c:v>45385</c:v>
                </c:pt>
                <c:pt idx="41">
                  <c:v>45386</c:v>
                </c:pt>
                <c:pt idx="42">
                  <c:v>45387</c:v>
                </c:pt>
                <c:pt idx="43">
                  <c:v>45388</c:v>
                </c:pt>
                <c:pt idx="44">
                  <c:v>45389</c:v>
                </c:pt>
                <c:pt idx="45">
                  <c:v>45390</c:v>
                </c:pt>
                <c:pt idx="46">
                  <c:v>45391</c:v>
                </c:pt>
                <c:pt idx="47">
                  <c:v>45392</c:v>
                </c:pt>
                <c:pt idx="48">
                  <c:v>45393</c:v>
                </c:pt>
                <c:pt idx="49">
                  <c:v>45394</c:v>
                </c:pt>
                <c:pt idx="50">
                  <c:v>45395</c:v>
                </c:pt>
                <c:pt idx="51">
                  <c:v>45396</c:v>
                </c:pt>
                <c:pt idx="52">
                  <c:v>45397</c:v>
                </c:pt>
                <c:pt idx="53">
                  <c:v>45398</c:v>
                </c:pt>
                <c:pt idx="54">
                  <c:v>45399</c:v>
                </c:pt>
                <c:pt idx="55">
                  <c:v>45400</c:v>
                </c:pt>
                <c:pt idx="56">
                  <c:v>45401</c:v>
                </c:pt>
                <c:pt idx="57">
                  <c:v>45402</c:v>
                </c:pt>
                <c:pt idx="58">
                  <c:v>45403</c:v>
                </c:pt>
                <c:pt idx="59">
                  <c:v>45404</c:v>
                </c:pt>
                <c:pt idx="60">
                  <c:v>45405</c:v>
                </c:pt>
                <c:pt idx="61">
                  <c:v>45406</c:v>
                </c:pt>
                <c:pt idx="62">
                  <c:v>45407</c:v>
                </c:pt>
                <c:pt idx="63">
                  <c:v>45408</c:v>
                </c:pt>
                <c:pt idx="64">
                  <c:v>45409</c:v>
                </c:pt>
                <c:pt idx="65">
                  <c:v>45410</c:v>
                </c:pt>
                <c:pt idx="66">
                  <c:v>45411</c:v>
                </c:pt>
                <c:pt idx="67">
                  <c:v>45412</c:v>
                </c:pt>
                <c:pt idx="68">
                  <c:v>45413</c:v>
                </c:pt>
                <c:pt idx="69">
                  <c:v>45414</c:v>
                </c:pt>
                <c:pt idx="70">
                  <c:v>45415</c:v>
                </c:pt>
                <c:pt idx="71">
                  <c:v>45416</c:v>
                </c:pt>
                <c:pt idx="72">
                  <c:v>45417</c:v>
                </c:pt>
                <c:pt idx="73">
                  <c:v>45418</c:v>
                </c:pt>
                <c:pt idx="74">
                  <c:v>45419</c:v>
                </c:pt>
                <c:pt idx="75">
                  <c:v>45420</c:v>
                </c:pt>
                <c:pt idx="76">
                  <c:v>45421</c:v>
                </c:pt>
                <c:pt idx="77">
                  <c:v>45422</c:v>
                </c:pt>
                <c:pt idx="78">
                  <c:v>45423</c:v>
                </c:pt>
                <c:pt idx="79">
                  <c:v>45424</c:v>
                </c:pt>
                <c:pt idx="80">
                  <c:v>45425</c:v>
                </c:pt>
                <c:pt idx="81">
                  <c:v>45426</c:v>
                </c:pt>
                <c:pt idx="82">
                  <c:v>45427</c:v>
                </c:pt>
                <c:pt idx="83">
                  <c:v>45428</c:v>
                </c:pt>
                <c:pt idx="84">
                  <c:v>45429</c:v>
                </c:pt>
                <c:pt idx="85">
                  <c:v>45430</c:v>
                </c:pt>
                <c:pt idx="86">
                  <c:v>45431</c:v>
                </c:pt>
                <c:pt idx="87">
                  <c:v>45432</c:v>
                </c:pt>
                <c:pt idx="88">
                  <c:v>45433</c:v>
                </c:pt>
                <c:pt idx="89">
                  <c:v>45434</c:v>
                </c:pt>
                <c:pt idx="90">
                  <c:v>45435</c:v>
                </c:pt>
                <c:pt idx="91">
                  <c:v>45436</c:v>
                </c:pt>
                <c:pt idx="92">
                  <c:v>45437</c:v>
                </c:pt>
                <c:pt idx="93">
                  <c:v>45438</c:v>
                </c:pt>
                <c:pt idx="94">
                  <c:v>45439</c:v>
                </c:pt>
                <c:pt idx="95">
                  <c:v>45440</c:v>
                </c:pt>
                <c:pt idx="96">
                  <c:v>45441</c:v>
                </c:pt>
                <c:pt idx="97">
                  <c:v>45442</c:v>
                </c:pt>
                <c:pt idx="98">
                  <c:v>45443</c:v>
                </c:pt>
                <c:pt idx="99">
                  <c:v>45444</c:v>
                </c:pt>
                <c:pt idx="100">
                  <c:v>45445</c:v>
                </c:pt>
                <c:pt idx="101">
                  <c:v>45446</c:v>
                </c:pt>
                <c:pt idx="102">
                  <c:v>45447</c:v>
                </c:pt>
                <c:pt idx="103">
                  <c:v>45448</c:v>
                </c:pt>
                <c:pt idx="104">
                  <c:v>45449</c:v>
                </c:pt>
                <c:pt idx="105">
                  <c:v>45450</c:v>
                </c:pt>
                <c:pt idx="106">
                  <c:v>45451</c:v>
                </c:pt>
                <c:pt idx="107">
                  <c:v>45452</c:v>
                </c:pt>
                <c:pt idx="108">
                  <c:v>45453</c:v>
                </c:pt>
                <c:pt idx="109">
                  <c:v>45454</c:v>
                </c:pt>
                <c:pt idx="110">
                  <c:v>45455</c:v>
                </c:pt>
                <c:pt idx="111">
                  <c:v>45456</c:v>
                </c:pt>
                <c:pt idx="112">
                  <c:v>45457</c:v>
                </c:pt>
                <c:pt idx="113">
                  <c:v>45458</c:v>
                </c:pt>
              </c:numCache>
            </c:numRef>
          </c:xVal>
          <c:yVal>
            <c:numRef>
              <c:f>'LINE CHART'!$D$81:$D$194</c:f>
              <c:numCache>
                <c:formatCode>General</c:formatCode>
                <c:ptCount val="114"/>
                <c:pt idx="0">
                  <c:v>7.6</c:v>
                </c:pt>
                <c:pt idx="1">
                  <c:v>8.6999999999999993</c:v>
                </c:pt>
                <c:pt idx="2">
                  <c:v>8.3000000000000007</c:v>
                </c:pt>
                <c:pt idx="3">
                  <c:v>9.9</c:v>
                </c:pt>
                <c:pt idx="4">
                  <c:v>12.3</c:v>
                </c:pt>
                <c:pt idx="5">
                  <c:v>10.7</c:v>
                </c:pt>
                <c:pt idx="6">
                  <c:v>11.4</c:v>
                </c:pt>
                <c:pt idx="7">
                  <c:v>10.8</c:v>
                </c:pt>
                <c:pt idx="8">
                  <c:v>15</c:v>
                </c:pt>
                <c:pt idx="9">
                  <c:v>13.7</c:v>
                </c:pt>
                <c:pt idx="10">
                  <c:v>9.5</c:v>
                </c:pt>
                <c:pt idx="11">
                  <c:v>9</c:v>
                </c:pt>
                <c:pt idx="12">
                  <c:v>9</c:v>
                </c:pt>
                <c:pt idx="13">
                  <c:v>8.8000000000000007</c:v>
                </c:pt>
                <c:pt idx="14">
                  <c:v>9.6</c:v>
                </c:pt>
                <c:pt idx="15">
                  <c:v>10</c:v>
                </c:pt>
                <c:pt idx="16">
                  <c:v>10</c:v>
                </c:pt>
                <c:pt idx="17">
                  <c:v>13.3</c:v>
                </c:pt>
                <c:pt idx="18">
                  <c:v>14.2</c:v>
                </c:pt>
                <c:pt idx="19">
                  <c:v>13</c:v>
                </c:pt>
                <c:pt idx="20">
                  <c:v>14.6</c:v>
                </c:pt>
                <c:pt idx="21">
                  <c:v>13.9</c:v>
                </c:pt>
                <c:pt idx="22">
                  <c:v>10.1</c:v>
                </c:pt>
                <c:pt idx="23">
                  <c:v>11.9</c:v>
                </c:pt>
                <c:pt idx="24">
                  <c:v>12.2</c:v>
                </c:pt>
                <c:pt idx="25">
                  <c:v>12.2</c:v>
                </c:pt>
                <c:pt idx="26">
                  <c:v>13.7</c:v>
                </c:pt>
                <c:pt idx="27">
                  <c:v>16.399999999999999</c:v>
                </c:pt>
                <c:pt idx="28">
                  <c:v>18</c:v>
                </c:pt>
                <c:pt idx="29">
                  <c:v>16.2</c:v>
                </c:pt>
                <c:pt idx="30">
                  <c:v>16.899999999999999</c:v>
                </c:pt>
                <c:pt idx="31">
                  <c:v>15.8</c:v>
                </c:pt>
                <c:pt idx="32">
                  <c:v>17.7</c:v>
                </c:pt>
                <c:pt idx="33">
                  <c:v>19.399999999999999</c:v>
                </c:pt>
                <c:pt idx="34">
                  <c:v>21.2</c:v>
                </c:pt>
                <c:pt idx="35">
                  <c:v>20.5</c:v>
                </c:pt>
                <c:pt idx="36">
                  <c:v>21.8</c:v>
                </c:pt>
                <c:pt idx="37">
                  <c:v>21.3</c:v>
                </c:pt>
                <c:pt idx="38">
                  <c:v>18.399999999999999</c:v>
                </c:pt>
                <c:pt idx="39">
                  <c:v>15.8</c:v>
                </c:pt>
                <c:pt idx="40">
                  <c:v>17.3</c:v>
                </c:pt>
                <c:pt idx="41">
                  <c:v>20.399999999999999</c:v>
                </c:pt>
                <c:pt idx="42">
                  <c:v>20.2</c:v>
                </c:pt>
                <c:pt idx="43">
                  <c:v>20.2</c:v>
                </c:pt>
                <c:pt idx="44">
                  <c:v>16.3</c:v>
                </c:pt>
                <c:pt idx="45">
                  <c:v>17.399999999999999</c:v>
                </c:pt>
                <c:pt idx="46">
                  <c:v>17.7</c:v>
                </c:pt>
                <c:pt idx="47">
                  <c:v>17</c:v>
                </c:pt>
                <c:pt idx="48">
                  <c:v>19.600000000000001</c:v>
                </c:pt>
                <c:pt idx="49">
                  <c:v>21.7</c:v>
                </c:pt>
                <c:pt idx="50">
                  <c:v>23</c:v>
                </c:pt>
                <c:pt idx="51">
                  <c:v>21.4</c:v>
                </c:pt>
                <c:pt idx="52">
                  <c:v>21.6</c:v>
                </c:pt>
                <c:pt idx="53">
                  <c:v>24.8</c:v>
                </c:pt>
                <c:pt idx="54">
                  <c:v>25</c:v>
                </c:pt>
                <c:pt idx="55">
                  <c:v>25</c:v>
                </c:pt>
                <c:pt idx="56">
                  <c:v>24.3</c:v>
                </c:pt>
                <c:pt idx="57">
                  <c:v>23.3</c:v>
                </c:pt>
                <c:pt idx="58">
                  <c:v>24</c:v>
                </c:pt>
                <c:pt idx="59">
                  <c:v>23</c:v>
                </c:pt>
                <c:pt idx="60">
                  <c:v>22.6</c:v>
                </c:pt>
                <c:pt idx="61">
                  <c:v>19</c:v>
                </c:pt>
                <c:pt idx="62">
                  <c:v>20</c:v>
                </c:pt>
                <c:pt idx="63">
                  <c:v>21.6</c:v>
                </c:pt>
                <c:pt idx="64">
                  <c:v>22.7</c:v>
                </c:pt>
                <c:pt idx="65">
                  <c:v>23.5</c:v>
                </c:pt>
                <c:pt idx="66">
                  <c:v>22.8</c:v>
                </c:pt>
                <c:pt idx="67">
                  <c:v>22.2</c:v>
                </c:pt>
                <c:pt idx="68">
                  <c:v>21</c:v>
                </c:pt>
                <c:pt idx="69">
                  <c:v>19.3</c:v>
                </c:pt>
                <c:pt idx="70">
                  <c:v>18.3</c:v>
                </c:pt>
                <c:pt idx="71">
                  <c:v>23.2</c:v>
                </c:pt>
                <c:pt idx="72">
                  <c:v>22.7</c:v>
                </c:pt>
                <c:pt idx="73">
                  <c:v>24.4</c:v>
                </c:pt>
                <c:pt idx="74">
                  <c:v>24.2</c:v>
                </c:pt>
                <c:pt idx="75">
                  <c:v>27.5</c:v>
                </c:pt>
                <c:pt idx="76">
                  <c:v>26</c:v>
                </c:pt>
                <c:pt idx="77">
                  <c:v>27.7</c:v>
                </c:pt>
                <c:pt idx="78">
                  <c:v>24.9</c:v>
                </c:pt>
                <c:pt idx="79">
                  <c:v>25.8</c:v>
                </c:pt>
                <c:pt idx="80">
                  <c:v>27.5</c:v>
                </c:pt>
                <c:pt idx="81">
                  <c:v>23.9</c:v>
                </c:pt>
                <c:pt idx="82">
                  <c:v>22.9</c:v>
                </c:pt>
                <c:pt idx="83">
                  <c:v>24.8</c:v>
                </c:pt>
                <c:pt idx="84">
                  <c:v>25.4</c:v>
                </c:pt>
                <c:pt idx="85">
                  <c:v>27.1</c:v>
                </c:pt>
                <c:pt idx="86">
                  <c:v>28.2</c:v>
                </c:pt>
                <c:pt idx="87">
                  <c:v>29.2</c:v>
                </c:pt>
                <c:pt idx="88">
                  <c:v>30.7</c:v>
                </c:pt>
                <c:pt idx="89">
                  <c:v>30.9</c:v>
                </c:pt>
                <c:pt idx="90">
                  <c:v>30.6</c:v>
                </c:pt>
                <c:pt idx="91">
                  <c:v>30.8</c:v>
                </c:pt>
                <c:pt idx="92">
                  <c:v>30.6</c:v>
                </c:pt>
                <c:pt idx="93">
                  <c:v>27</c:v>
                </c:pt>
                <c:pt idx="94">
                  <c:v>29.2</c:v>
                </c:pt>
                <c:pt idx="95">
                  <c:v>27.4</c:v>
                </c:pt>
                <c:pt idx="96">
                  <c:v>29.4</c:v>
                </c:pt>
                <c:pt idx="97">
                  <c:v>30.4</c:v>
                </c:pt>
                <c:pt idx="98">
                  <c:v>29</c:v>
                </c:pt>
                <c:pt idx="99">
                  <c:v>30.2</c:v>
                </c:pt>
                <c:pt idx="100">
                  <c:v>30.4</c:v>
                </c:pt>
                <c:pt idx="101">
                  <c:v>30.2</c:v>
                </c:pt>
                <c:pt idx="102">
                  <c:v>30.4</c:v>
                </c:pt>
                <c:pt idx="103">
                  <c:v>31</c:v>
                </c:pt>
                <c:pt idx="104">
                  <c:v>24.6</c:v>
                </c:pt>
                <c:pt idx="105">
                  <c:v>28</c:v>
                </c:pt>
                <c:pt idx="106">
                  <c:v>30</c:v>
                </c:pt>
                <c:pt idx="107">
                  <c:v>27.4</c:v>
                </c:pt>
                <c:pt idx="108">
                  <c:v>28.6</c:v>
                </c:pt>
                <c:pt idx="109">
                  <c:v>28</c:v>
                </c:pt>
                <c:pt idx="110">
                  <c:v>28.5</c:v>
                </c:pt>
                <c:pt idx="111">
                  <c:v>29.4</c:v>
                </c:pt>
                <c:pt idx="112">
                  <c:v>33.299999999999997</c:v>
                </c:pt>
                <c:pt idx="113">
                  <c:v>32.4</c:v>
                </c:pt>
              </c:numCache>
            </c:numRef>
          </c:yVal>
          <c:smooth val="0"/>
          <c:extLst>
            <c:ext xmlns:c16="http://schemas.microsoft.com/office/drawing/2014/chart" uri="{C3380CC4-5D6E-409C-BE32-E72D297353CC}">
              <c16:uniqueId val="{00000001-DAB6-4BA7-A620-B19F4B1CE98F}"/>
            </c:ext>
          </c:extLst>
        </c:ser>
        <c:dLbls>
          <c:dLblPos val="b"/>
          <c:showLegendKey val="0"/>
          <c:showVal val="1"/>
          <c:showCatName val="0"/>
          <c:showSerName val="0"/>
          <c:showPercent val="0"/>
          <c:showBubbleSize val="0"/>
        </c:dLbls>
        <c:axId val="583522832"/>
        <c:axId val="583523192"/>
      </c:scatterChart>
      <c:valAx>
        <c:axId val="58352283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DATE</a:t>
                </a:r>
                <a:r>
                  <a:rPr lang="en-IN" baseline="0"/>
                  <a: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F800]dddd\,\ mmmm\ dd\,\ yyyy"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523192"/>
        <c:crosses val="autoZero"/>
        <c:crossBetween val="midCat"/>
      </c:valAx>
      <c:valAx>
        <c:axId val="583523192"/>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TEMPERATURE</a:t>
                </a:r>
                <a:r>
                  <a:rPr lang="en-IN" baseline="0"/>
                  <a:t> (C)</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52283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54823532632432"/>
          <c:y val="6.0850522755323155E-2"/>
          <c:w val="0.84832628824351419"/>
          <c:h val="0.87598500070841723"/>
        </c:manualLayout>
      </c:layout>
      <c:bar3DChart>
        <c:barDir val="bar"/>
        <c:grouping val="stacked"/>
        <c:varyColors val="0"/>
        <c:ser>
          <c:idx val="0"/>
          <c:order val="0"/>
          <c:tx>
            <c:strRef>
              <c:f>'LINE CHART'!$D$35</c:f>
              <c:strCache>
                <c:ptCount val="1"/>
                <c:pt idx="0">
                  <c:v>Units Sold (Million)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'LINE CHART'!$C$36:$C$55</c:f>
              <c:strCache>
                <c:ptCount val="20"/>
                <c:pt idx="0">
                  <c:v>Wii Sports</c:v>
                </c:pt>
                <c:pt idx="1">
                  <c:v>Super Mario Bros.</c:v>
                </c:pt>
                <c:pt idx="2">
                  <c:v>Mario Kart Wii</c:v>
                </c:pt>
                <c:pt idx="3">
                  <c:v>Wii Sport Resort</c:v>
                </c:pt>
                <c:pt idx="4">
                  <c:v>Pokémon R/G/B</c:v>
                </c:pt>
                <c:pt idx="5">
                  <c:v>Tetris</c:v>
                </c:pt>
                <c:pt idx="6">
                  <c:v>New Super Mario Bros.</c:v>
                </c:pt>
                <c:pt idx="7">
                  <c:v>Wii Play</c:v>
                </c:pt>
                <c:pt idx="8">
                  <c:v>New Super Mario Bros</c:v>
                </c:pt>
                <c:pt idx="9">
                  <c:v>Duck Hunt</c:v>
                </c:pt>
                <c:pt idx="10">
                  <c:v>Nintendogs</c:v>
                </c:pt>
                <c:pt idx="11">
                  <c:v>Mario Kart DS</c:v>
                </c:pt>
                <c:pt idx="12">
                  <c:v>Pokémon G/S</c:v>
                </c:pt>
                <c:pt idx="13">
                  <c:v>Wii Fit</c:v>
                </c:pt>
                <c:pt idx="14">
                  <c:v>Kinect Adventures!</c:v>
                </c:pt>
                <c:pt idx="15">
                  <c:v>Wii Fit Plus</c:v>
                </c:pt>
                <c:pt idx="16">
                  <c:v>GTA: San Andreas</c:v>
                </c:pt>
                <c:pt idx="17">
                  <c:v>Super Mario World</c:v>
                </c:pt>
                <c:pt idx="18">
                  <c:v>GTA V</c:v>
                </c:pt>
                <c:pt idx="19">
                  <c:v>Brain Age</c:v>
                </c:pt>
              </c:strCache>
            </c:strRef>
          </c:cat>
          <c:val>
            <c:numRef>
              <c:f>'LINE CHART'!$D$36:$D$55</c:f>
              <c:numCache>
                <c:formatCode>General</c:formatCode>
                <c:ptCount val="20"/>
                <c:pt idx="0">
                  <c:v>82.65</c:v>
                </c:pt>
                <c:pt idx="1">
                  <c:v>40.24</c:v>
                </c:pt>
                <c:pt idx="2">
                  <c:v>35.979999999999997</c:v>
                </c:pt>
                <c:pt idx="3">
                  <c:v>32.9</c:v>
                </c:pt>
                <c:pt idx="4">
                  <c:v>31.37</c:v>
                </c:pt>
                <c:pt idx="5">
                  <c:v>30.26</c:v>
                </c:pt>
                <c:pt idx="6">
                  <c:v>29.85</c:v>
                </c:pt>
                <c:pt idx="7">
                  <c:v>28.92</c:v>
                </c:pt>
                <c:pt idx="8">
                  <c:v>28.51</c:v>
                </c:pt>
                <c:pt idx="9">
                  <c:v>28.31</c:v>
                </c:pt>
                <c:pt idx="10">
                  <c:v>24.68</c:v>
                </c:pt>
                <c:pt idx="11">
                  <c:v>23.26</c:v>
                </c:pt>
                <c:pt idx="12">
                  <c:v>23.1</c:v>
                </c:pt>
                <c:pt idx="13">
                  <c:v>22.7</c:v>
                </c:pt>
                <c:pt idx="14">
                  <c:v>22.1</c:v>
                </c:pt>
                <c:pt idx="15">
                  <c:v>21.81</c:v>
                </c:pt>
                <c:pt idx="16">
                  <c:v>20.81</c:v>
                </c:pt>
                <c:pt idx="17">
                  <c:v>20.61</c:v>
                </c:pt>
                <c:pt idx="18">
                  <c:v>20.32</c:v>
                </c:pt>
                <c:pt idx="19">
                  <c:v>20.16</c:v>
                </c:pt>
              </c:numCache>
            </c:numRef>
          </c:val>
          <c:extLst>
            <c:ext xmlns:c16="http://schemas.microsoft.com/office/drawing/2014/chart" uri="{C3380CC4-5D6E-409C-BE32-E72D297353CC}">
              <c16:uniqueId val="{00000000-DCD7-49D0-B031-1CFE957BC6E8}"/>
            </c:ext>
          </c:extLst>
        </c:ser>
        <c:dLbls>
          <c:showLegendKey val="0"/>
          <c:showVal val="1"/>
          <c:showCatName val="0"/>
          <c:showSerName val="0"/>
          <c:showPercent val="0"/>
          <c:showBubbleSize val="0"/>
        </c:dLbls>
        <c:gapWidth val="150"/>
        <c:shape val="box"/>
        <c:axId val="599153120"/>
        <c:axId val="599144120"/>
        <c:axId val="0"/>
      </c:bar3DChart>
      <c:catAx>
        <c:axId val="599153120"/>
        <c:scaling>
          <c:orientation val="minMax"/>
        </c:scaling>
        <c:delete val="0"/>
        <c:axPos val="l"/>
        <c:title>
          <c:tx>
            <c:rich>
              <a:bodyPr rot="-5400000" spcFirstLastPara="1" vertOverflow="ellipsis" vert="horz" wrap="square" anchor="ctr" anchorCtr="1"/>
              <a:lstStyle/>
              <a:p>
                <a:pPr>
                  <a:defRPr sz="2000" b="1" i="0" u="sng" strike="noStrike" kern="1200" cap="all" baseline="0">
                    <a:solidFill>
                      <a:schemeClr val="lt1">
                        <a:lumMod val="85000"/>
                      </a:schemeClr>
                    </a:solidFill>
                    <a:latin typeface="+mn-lt"/>
                    <a:ea typeface="+mn-ea"/>
                    <a:cs typeface="+mn-cs"/>
                  </a:defRPr>
                </a:pPr>
                <a:r>
                  <a:rPr lang="en-IN" sz="2000" u="sng" baseline="0"/>
                  <a:t>games</a:t>
                </a:r>
              </a:p>
            </c:rich>
          </c:tx>
          <c:layout>
            <c:manualLayout>
              <c:xMode val="edge"/>
              <c:yMode val="edge"/>
              <c:x val="1.56974638921E-2"/>
              <c:y val="0.49929483732177737"/>
            </c:manualLayout>
          </c:layout>
          <c:overlay val="0"/>
          <c:spPr>
            <a:noFill/>
            <a:ln>
              <a:noFill/>
            </a:ln>
            <a:effectLst/>
          </c:spPr>
          <c:txPr>
            <a:bodyPr rot="-5400000" spcFirstLastPara="1" vertOverflow="ellipsis" vert="horz" wrap="square" anchor="ctr" anchorCtr="1"/>
            <a:lstStyle/>
            <a:p>
              <a:pPr>
                <a:defRPr sz="2000" b="1" i="0" u="sng"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144120"/>
        <c:crosses val="autoZero"/>
        <c:auto val="1"/>
        <c:lblAlgn val="ctr"/>
        <c:lblOffset val="100"/>
        <c:noMultiLvlLbl val="0"/>
      </c:catAx>
      <c:valAx>
        <c:axId val="5991441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15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TANISHQ JEWELLER ANNUAL REPORT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2A-47F0-A0A1-2FBA4A4F212A}"/>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953-4560-B9BF-0C399AB9CC93}"/>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2A-47F0-A0A1-2FBA4A4F212A}"/>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02A-47F0-A0A1-2FBA4A4F212A}"/>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02A-47F0-A0A1-2FBA4A4F212A}"/>
              </c:ext>
            </c:extLst>
          </c:dPt>
          <c:dLbls>
            <c:dLbl>
              <c:idx val="3"/>
              <c:layout>
                <c:manualLayout>
                  <c:x val="0.14736581270536678"/>
                  <c:y val="7.42640234537761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02A-47F0-A0A1-2FBA4A4F212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CHART'!$C$12:$G$12</c:f>
              <c:strCache>
                <c:ptCount val="5"/>
                <c:pt idx="0">
                  <c:v>Gold Necklaces</c:v>
                </c:pt>
                <c:pt idx="1">
                  <c:v>Diamond Rings</c:v>
                </c:pt>
                <c:pt idx="2">
                  <c:v>Silver Bracelets</c:v>
                </c:pt>
                <c:pt idx="3">
                  <c:v>Platinum Earrings</c:v>
                </c:pt>
                <c:pt idx="4">
                  <c:v>Gemstone Pendants</c:v>
                </c:pt>
              </c:strCache>
            </c:strRef>
          </c:cat>
          <c:val>
            <c:numRef>
              <c:f>'PIE CHART'!$C$13:$G$13</c:f>
              <c:numCache>
                <c:formatCode>"₹"#,##0.00_);[Red]\("₹"#,##0.00\)</c:formatCode>
                <c:ptCount val="5"/>
                <c:pt idx="0">
                  <c:v>211000000</c:v>
                </c:pt>
                <c:pt idx="1">
                  <c:v>320500000</c:v>
                </c:pt>
                <c:pt idx="2">
                  <c:v>66000000</c:v>
                </c:pt>
                <c:pt idx="3">
                  <c:v>49500000</c:v>
                </c:pt>
                <c:pt idx="4">
                  <c:v>83000000</c:v>
                </c:pt>
              </c:numCache>
            </c:numRef>
          </c:val>
          <c:extLst>
            <c:ext xmlns:c16="http://schemas.microsoft.com/office/drawing/2014/chart" uri="{C3380CC4-5D6E-409C-BE32-E72D297353CC}">
              <c16:uniqueId val="{00000000-C953-4560-B9BF-0C399AB9CC93}"/>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Monthly Returns </cx:v>
        </cx:txData>
      </cx:tx>
      <cx:txPr>
        <a:bodyPr spcFirstLastPara="1" vertOverflow="ellipsis" horzOverflow="overflow" wrap="square" lIns="0" tIns="0" rIns="0" bIns="0" anchor="ctr" anchorCtr="1"/>
        <a:lstStyle/>
        <a:p>
          <a:pPr algn="ctr" rtl="0">
            <a:defRPr baseline="0">
              <a:solidFill>
                <a:schemeClr val="bg1"/>
              </a:solidFill>
            </a:defRPr>
          </a:pPr>
          <a:r>
            <a:rPr lang="en-US" sz="1800" b="1" i="0" u="none" strike="noStrike" baseline="0">
              <a:solidFill>
                <a:schemeClr val="bg1"/>
              </a:solidFill>
              <a:latin typeface="Calibri" panose="020F0502020204030204"/>
            </a:rPr>
            <a:t>Monthly Returns </a:t>
          </a:r>
        </a:p>
      </cx:txPr>
    </cx:title>
    <cx:plotArea>
      <cx:plotAreaRegion>
        <cx:series layoutId="waterfall" uniqueId="{87179113-0AF2-4A43-97C9-53E49521EB14}">
          <cx:tx>
            <cx:txData>
              <cx:f>_xlchart.v1.1</cx:f>
              <cx:v>Return (₹ lakhs)</cx:v>
            </cx:txData>
          </cx:tx>
          <cx:dataPt idx="0">
            <cx:spPr>
              <a:solidFill>
                <a:srgbClr val="70AD47">
                  <a:lumMod val="75000"/>
                </a:srgbClr>
              </a:solidFill>
            </cx:spPr>
          </cx:dataPt>
          <cx:dataPt idx="1">
            <cx:spPr>
              <a:solidFill>
                <a:srgbClr val="FF0000"/>
              </a:solidFill>
            </cx:spPr>
          </cx:dataPt>
          <cx:dataPt idx="2">
            <cx:spPr>
              <a:solidFill>
                <a:srgbClr val="70AD47">
                  <a:lumMod val="75000"/>
                </a:srgbClr>
              </a:solidFill>
            </cx:spPr>
          </cx:dataPt>
          <cx:dataPt idx="3">
            <cx:spPr>
              <a:solidFill>
                <a:srgbClr val="FF0000"/>
              </a:solidFill>
            </cx:spPr>
          </cx:dataPt>
          <cx:dataPt idx="4">
            <cx:spPr>
              <a:solidFill>
                <a:srgbClr val="70AD47">
                  <a:lumMod val="75000"/>
                </a:srgbClr>
              </a:solidFill>
            </cx:spPr>
          </cx:dataPt>
          <cx:dataPt idx="5">
            <cx:spPr>
              <a:solidFill>
                <a:srgbClr val="FF0000"/>
              </a:solidFill>
            </cx:spPr>
          </cx:dataPt>
          <cx:dataPt idx="6">
            <cx:spPr>
              <a:solidFill>
                <a:srgbClr val="70AD47">
                  <a:lumMod val="75000"/>
                </a:srgbClr>
              </a:solidFill>
            </cx:spPr>
          </cx:dataPt>
          <cx:dataPt idx="7">
            <cx:spPr>
              <a:solidFill>
                <a:srgbClr val="FF0000"/>
              </a:solidFill>
            </cx:spPr>
          </cx:dataPt>
          <cx:dataPt idx="8">
            <cx:spPr>
              <a:solidFill>
                <a:srgbClr val="70AD47">
                  <a:lumMod val="75000"/>
                </a:srgbClr>
              </a:solidFill>
            </cx:spPr>
          </cx:dataPt>
          <cx:dataPt idx="9">
            <cx:spPr>
              <a:solidFill>
                <a:srgbClr val="FF0000"/>
              </a:solidFill>
            </cx:spPr>
          </cx:dataPt>
          <cx:dataPt idx="10">
            <cx:spPr>
              <a:solidFill>
                <a:srgbClr val="70AD47">
                  <a:lumMod val="75000"/>
                </a:srgbClr>
              </a:solidFill>
            </cx:spPr>
          </cx:dataPt>
          <cx:dataPt idx="11">
            <cx:spPr>
              <a:solidFill>
                <a:srgbClr val="FF0000"/>
              </a:solidFill>
            </cx:spPr>
          </cx:dataPt>
          <cx:dataLabels pos="outEnd">
            <cx:txPr>
              <a:bodyPr spcFirstLastPara="1" vertOverflow="ellipsis" horzOverflow="overflow" wrap="square" lIns="0" tIns="0" rIns="0" bIns="0" anchor="ctr" anchorCtr="1"/>
              <a:lstStyle/>
              <a:p>
                <a:pPr algn="ctr" rtl="0">
                  <a:defRPr b="1" i="0" baseline="0">
                    <a:solidFill>
                      <a:schemeClr val="accent6">
                        <a:lumMod val="20000"/>
                        <a:lumOff val="80000"/>
                      </a:schemeClr>
                    </a:solidFill>
                  </a:defRPr>
                </a:pPr>
                <a:endParaRPr lang="en-US" sz="900" b="1" i="0" u="none" strike="noStrike" baseline="0">
                  <a:solidFill>
                    <a:schemeClr val="accent6">
                      <a:lumMod val="20000"/>
                      <a:lumOff val="80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900" b="1" i="0" u="none" strike="noStrike" baseline="0">
                      <a:solidFill>
                        <a:schemeClr val="accent6">
                          <a:lumMod val="20000"/>
                          <a:lumOff val="80000"/>
                        </a:schemeClr>
                      </a:solidFill>
                      <a:latin typeface="Calibri" panose="020F0502020204030204"/>
                    </a:rPr>
                    <a:t>₹ 25,00,000.00</a:t>
                  </a:r>
                </a:p>
              </cx:txPr>
              <cx:visibility seriesName="0" categoryName="0" value="1"/>
            </cx:dataLabel>
          </cx:dataLabels>
          <cx:dataId val="0"/>
          <cx:layoutPr>
            <cx:visibility connectorLines="0"/>
            <cx:subtotals/>
          </cx:layoutPr>
        </cx:series>
      </cx:plotAreaRegion>
      <cx:axis id="0">
        <cx:catScaling gapWidth="0.25"/>
        <cx:tickLabels/>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Calibri" panose="020F0502020204030204"/>
            </a:endParaRPr>
          </a:p>
        </cx:txPr>
      </cx:axis>
      <cx:axis id="1">
        <cx:valScaling/>
        <cx:title>
          <cx:tx>
            <cx:txData>
              <cx:v>AMOUNT</cx:v>
            </cx:txData>
          </cx:tx>
          <cx:spPr>
            <a:solidFill>
              <a:schemeClr val="tx1"/>
            </a:solidFill>
          </cx:spPr>
          <cx:txPr>
            <a:bodyPr spcFirstLastPara="1" vertOverflow="ellipsis" horzOverflow="overflow" wrap="square" lIns="0" tIns="0" rIns="0" bIns="0" anchor="ctr" anchorCtr="1"/>
            <a:lstStyle/>
            <a:p>
              <a:pPr algn="ctr" rtl="0">
                <a:defRPr sz="2200" baseline="0">
                  <a:solidFill>
                    <a:schemeClr val="bg1"/>
                  </a:solidFill>
                </a:defRPr>
              </a:pPr>
              <a:r>
                <a:rPr lang="en-US" sz="2200" b="0" i="0" u="none" strike="noStrike" baseline="0">
                  <a:solidFill>
                    <a:schemeClr val="bg1"/>
                  </a:solidFill>
                  <a:latin typeface="Calibri" panose="020F0502020204030204"/>
                </a:rPr>
                <a:t>AMOUNT</a:t>
              </a:r>
            </a:p>
          </cx:txPr>
        </cx:title>
        <cx:majorGridlines/>
        <cx:tickLabels/>
        <cx:spPr>
          <a:noFill/>
          <a:ln w="6350" cap="flat" cmpd="sng" algn="ctr">
            <a:solidFill>
              <a:schemeClr val="accent5"/>
            </a:solidFill>
            <a:prstDash val="solid"/>
            <a:miter lim="800000"/>
          </a:ln>
          <a:effectLst/>
        </cx:spPr>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1">
        <a:lumMod val="85000"/>
        <a:lumOff val="15000"/>
      </a:schemeClr>
    </a:solidFill>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167</xdr:row>
      <xdr:rowOff>9525</xdr:rowOff>
    </xdr:from>
    <xdr:to>
      <xdr:col>3</xdr:col>
      <xdr:colOff>323850</xdr:colOff>
      <xdr:row>167</xdr:row>
      <xdr:rowOff>187377</xdr:rowOff>
    </xdr:to>
    <xdr:pic>
      <xdr:nvPicPr>
        <xdr:cNvPr id="2" name="Picture 2">
          <a:extLst>
            <a:ext uri="{FF2B5EF4-FFF2-40B4-BE49-F238E27FC236}">
              <a16:creationId xmlns:a16="http://schemas.microsoft.com/office/drawing/2014/main" id="{950734DB-A617-405B-9CB2-B53BCBF194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95400" y="200025"/>
          <a:ext cx="180975" cy="1809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304407</xdr:colOff>
      <xdr:row>5</xdr:row>
      <xdr:rowOff>64972</xdr:rowOff>
    </xdr:from>
    <xdr:to>
      <xdr:col>8</xdr:col>
      <xdr:colOff>13080659</xdr:colOff>
      <xdr:row>23</xdr:row>
      <xdr:rowOff>127654</xdr:rowOff>
    </xdr:to>
    <xdr:graphicFrame macro="">
      <xdr:nvGraphicFramePr>
        <xdr:cNvPr id="7" name="Chart 6">
          <a:extLst>
            <a:ext uri="{FF2B5EF4-FFF2-40B4-BE49-F238E27FC236}">
              <a16:creationId xmlns:a16="http://schemas.microsoft.com/office/drawing/2014/main" id="{68B329DF-17D3-8912-4419-8A6C98DC5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348370</xdr:colOff>
      <xdr:row>34</xdr:row>
      <xdr:rowOff>0</xdr:rowOff>
    </xdr:from>
    <xdr:to>
      <xdr:col>8</xdr:col>
      <xdr:colOff>13113978</xdr:colOff>
      <xdr:row>50</xdr:row>
      <xdr:rowOff>41151</xdr:rowOff>
    </xdr:to>
    <xdr:graphicFrame macro="">
      <xdr:nvGraphicFramePr>
        <xdr:cNvPr id="4" name="Chart 3">
          <a:extLst>
            <a:ext uri="{FF2B5EF4-FFF2-40B4-BE49-F238E27FC236}">
              <a16:creationId xmlns:a16="http://schemas.microsoft.com/office/drawing/2014/main" id="{5BC0394B-8B7D-28DD-C81A-5431BB3C6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1515340</xdr:colOff>
      <xdr:row>7</xdr:row>
      <xdr:rowOff>14371</xdr:rowOff>
    </xdr:from>
    <xdr:to>
      <xdr:col>6</xdr:col>
      <xdr:colOff>11700596</xdr:colOff>
      <xdr:row>26</xdr:row>
      <xdr:rowOff>142802</xdr:rowOff>
    </xdr:to>
    <xdr:graphicFrame macro="">
      <xdr:nvGraphicFramePr>
        <xdr:cNvPr id="3" name="Chart 2">
          <a:extLst>
            <a:ext uri="{FF2B5EF4-FFF2-40B4-BE49-F238E27FC236}">
              <a16:creationId xmlns:a16="http://schemas.microsoft.com/office/drawing/2014/main" id="{BC89F222-3F69-8437-26DF-AABBD6FB1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540283</xdr:colOff>
      <xdr:row>76</xdr:row>
      <xdr:rowOff>189552</xdr:rowOff>
    </xdr:from>
    <xdr:to>
      <xdr:col>6</xdr:col>
      <xdr:colOff>12952265</xdr:colOff>
      <xdr:row>120</xdr:row>
      <xdr:rowOff>43544</xdr:rowOff>
    </xdr:to>
    <xdr:graphicFrame macro="">
      <xdr:nvGraphicFramePr>
        <xdr:cNvPr id="2" name="Chart 1">
          <a:extLst>
            <a:ext uri="{FF2B5EF4-FFF2-40B4-BE49-F238E27FC236}">
              <a16:creationId xmlns:a16="http://schemas.microsoft.com/office/drawing/2014/main" id="{B028D4C8-F0C4-0AE8-80C3-D62B963E2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496093</xdr:colOff>
      <xdr:row>33</xdr:row>
      <xdr:rowOff>156883</xdr:rowOff>
    </xdr:from>
    <xdr:to>
      <xdr:col>6</xdr:col>
      <xdr:colOff>12550588</xdr:colOff>
      <xdr:row>69</xdr:row>
      <xdr:rowOff>178593</xdr:rowOff>
    </xdr:to>
    <xdr:graphicFrame macro="">
      <xdr:nvGraphicFramePr>
        <xdr:cNvPr id="5" name="Chart 4">
          <a:extLst>
            <a:ext uri="{FF2B5EF4-FFF2-40B4-BE49-F238E27FC236}">
              <a16:creationId xmlns:a16="http://schemas.microsoft.com/office/drawing/2014/main" id="{5925470F-273B-C954-B5CC-29B913C09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793750</xdr:colOff>
      <xdr:row>6</xdr:row>
      <xdr:rowOff>130543</xdr:rowOff>
    </xdr:from>
    <xdr:to>
      <xdr:col>8</xdr:col>
      <xdr:colOff>12565673</xdr:colOff>
      <xdr:row>34</xdr:row>
      <xdr:rowOff>89265</xdr:rowOff>
    </xdr:to>
    <xdr:graphicFrame macro="">
      <xdr:nvGraphicFramePr>
        <xdr:cNvPr id="3" name="Chart 2">
          <a:extLst>
            <a:ext uri="{FF2B5EF4-FFF2-40B4-BE49-F238E27FC236}">
              <a16:creationId xmlns:a16="http://schemas.microsoft.com/office/drawing/2014/main" id="{3E3B7881-693D-C970-9E60-FECE14763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385568</xdr:colOff>
      <xdr:row>38</xdr:row>
      <xdr:rowOff>71700</xdr:rowOff>
    </xdr:from>
    <xdr:to>
      <xdr:col>8</xdr:col>
      <xdr:colOff>12828616</xdr:colOff>
      <xdr:row>68</xdr:row>
      <xdr:rowOff>59285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BDF75A2-CC70-5D9E-7D29-51E1E5F6FD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330293" y="8072700"/>
              <a:ext cx="12443048" cy="5712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02.503760069441" createdVersion="8" refreshedVersion="8" minRefreshableVersion="3" recordCount="63" xr:uid="{4431F9D2-D7CD-4530-A2B1-2A070142B533}">
  <cacheSource type="worksheet">
    <worksheetSource ref="B148:X211" sheet="FUNCTIONS PRACTICE"/>
  </cacheSource>
  <cacheFields count="23">
    <cacheField name="Patient_ID" numFmtId="0">
      <sharedItems containsSemiMixedTypes="0" containsString="0" containsNumber="1" containsInteger="1" minValue="1" maxValue="63"/>
    </cacheField>
    <cacheField name="Patient_Name" numFmtId="0">
      <sharedItems/>
    </cacheField>
    <cacheField name="Age" numFmtId="0">
      <sharedItems containsSemiMixedTypes="0" containsString="0" containsNumber="1" containsInteger="1" minValue="19" maxValue="60" count="17">
        <n v="45"/>
        <n v="35"/>
        <n v="49"/>
        <n v="25"/>
        <n v="60"/>
        <n v="39"/>
        <n v="24"/>
        <n v="34"/>
        <n v="30"/>
        <n v="55"/>
        <n v="29"/>
        <n v="40"/>
        <n v="50"/>
        <n v="54"/>
        <n v="19"/>
        <n v="59"/>
        <n v="20"/>
      </sharedItems>
    </cacheField>
    <cacheField name="Patient_DOB" numFmtId="14">
      <sharedItems containsSemiMixedTypes="0" containsNonDate="0" containsDate="1" containsString="0" minDate="1965-03-11T00:00:00" maxDate="2005-11-20T00:00:00"/>
    </cacheField>
    <cacheField name="Patient_Relative" numFmtId="0">
      <sharedItems containsBlank="1"/>
    </cacheField>
    <cacheField name="Doctor_ID" numFmtId="0">
      <sharedItems count="63">
        <s v="D1"/>
        <s v="D2"/>
        <s v="D3"/>
        <s v="D4"/>
        <s v="D5"/>
        <s v="D6"/>
        <s v="D7"/>
        <s v="D8"/>
        <s v="D9"/>
        <s v="D10"/>
        <s v="D11"/>
        <s v="D12"/>
        <s v="D13"/>
        <s v="D14"/>
        <s v="D15"/>
        <s v="D16"/>
        <s v="D17"/>
        <s v="D18"/>
        <s v="D19"/>
        <s v="D20"/>
        <s v="D21"/>
        <s v="D22"/>
        <s v="D23"/>
        <s v="D24"/>
        <s v="D25"/>
        <s v="D26"/>
        <s v="D27"/>
        <s v="D28"/>
        <s v="D29"/>
        <s v="D30"/>
        <s v="D31"/>
        <s v="D32"/>
        <s v="D33"/>
        <s v="D34"/>
        <s v="D35"/>
        <s v="D36"/>
        <s v="D37"/>
        <s v="D38"/>
        <s v="D39"/>
        <s v="D40"/>
        <s v="D41"/>
        <s v="D42"/>
        <s v="D43"/>
        <s v="D44"/>
        <s v="D45"/>
        <s v="D46"/>
        <s v="D47"/>
        <s v="D48"/>
        <s v="D49"/>
        <s v="D50"/>
        <s v="D51"/>
        <s v="D52"/>
        <s v="D53"/>
        <s v="D54"/>
        <s v="D55"/>
        <s v="D56"/>
        <s v="D57"/>
        <s v="D58"/>
        <s v="D59"/>
        <s v="D60"/>
        <s v="D61"/>
        <s v="D62"/>
        <s v="D63"/>
      </sharedItems>
    </cacheField>
    <cacheField name="Doctor_Name" numFmtId="0">
      <sharedItems count="60">
        <s v="Dr. Smith"/>
        <s v="Dr. Johnson"/>
        <s v="Dr. Lee"/>
        <s v="Dr. Kumar"/>
        <s v="Dr. Patel"/>
        <s v="Dr. Wong"/>
        <s v="Dr. Taylor"/>
        <s v="Dr. Adams"/>
        <s v="Dr. Hernandez"/>
        <s v="Dr. Martinez"/>
        <s v="Dr. Miller"/>
        <s v="Dr. Clark"/>
        <s v="Dr. Nelson"/>
        <s v="Dr. Hall"/>
        <s v="Dr. Allen"/>
        <s v="Dr. Young"/>
        <s v="Dr. King"/>
        <s v="Dr. Scott"/>
        <s v="Dr. Green"/>
        <s v="Dr. Harris"/>
        <s v="Dr. Lopez"/>
        <s v="Dr. Perez"/>
        <s v="Dr. Turner"/>
        <s v="Dr. Edwards"/>
        <s v="Dr. Collins"/>
        <s v="Dr. Morris"/>
        <s v="Dr. Bell"/>
        <s v="Dr. Parker"/>
        <s v="Dr. Carter"/>
        <s v="Dr. Sanders"/>
        <s v="Dr. Rogers"/>
        <s v="Dr. Powell"/>
        <s v="Dr. Watson"/>
        <s v="Dr. Bailey"/>
        <s v="Dr. Rivera"/>
        <s v="Dr. Cooper"/>
        <s v="Dr. Reed"/>
        <s v="Dr. Morgan"/>
        <s v="Dr. Cox"/>
        <s v="Dr. Ward"/>
        <s v="Dr. Brooks"/>
        <s v="Dr. Barnes"/>
        <s v="Dr. Ross"/>
        <s v="Dr. Henderson"/>
        <s v="Dr. Chen"/>
        <s v="Dr. Murphy"/>
        <s v="Dr. Simmons"/>
        <s v="Dr. Foster"/>
        <s v="Dr. Bryant"/>
        <s v="Dr. Hayes"/>
        <s v="Dr. Gordon"/>
        <s v="Dr. Reynolds"/>
        <s v="Dr. Lawson"/>
        <s v="Dr. Cross"/>
        <s v="Dr. Woods"/>
        <s v="Dr. Grant"/>
        <s v="Dr. Fisher"/>
        <s v="Dr. Hansen"/>
        <s v="Dr. Jenkins"/>
        <s v="Dr. Kim"/>
      </sharedItems>
    </cacheField>
    <cacheField name="Doctor_DOB" numFmtId="14">
      <sharedItems containsSemiMixedTypes="0" containsNonDate="0" containsDate="1" containsString="0" minDate="1955-02-11T00:00:00" maxDate="1980-11-12T00:00:00"/>
    </cacheField>
    <cacheField name="Issue" numFmtId="0">
      <sharedItems count="25">
        <s v="Flu"/>
        <s v="Broken Arm"/>
        <s v="Pneumonia"/>
        <s v="Heart Attack"/>
        <s v="Kidney Stone"/>
        <s v="Diabetes"/>
        <s v="Hypertension"/>
        <s v="Asthma"/>
        <s v="Appendicitis"/>
        <s v="Migraine"/>
        <s v="Fracture"/>
        <s v="Skin Rash"/>
        <s v="Allergies"/>
        <s v="Bronchitis"/>
        <s v="High Fever"/>
        <s v="Headache"/>
        <s v="Infection"/>
        <s v="High Blood Sugar"/>
        <s v="Arthritis"/>
        <s v="Broken Leg"/>
        <s v="Sinus Infection"/>
        <s v="High Cholesterol"/>
        <s v="Sprained Ankle"/>
        <s v="High Blood Pressure"/>
        <s v="Stomach Ache"/>
      </sharedItems>
    </cacheField>
    <cacheField name="Treatment_Price" numFmtId="0">
      <sharedItems containsSemiMixedTypes="0" containsString="0" containsNumber="1" containsInteger="1" minValue="80" maxValue="5000" count="17">
        <n v="200"/>
        <n v="1500"/>
        <n v="3000"/>
        <n v="5000"/>
        <n v="2000"/>
        <n v="1000"/>
        <n v="800"/>
        <n v="500"/>
        <n v="2500"/>
        <n v="300"/>
        <n v="150"/>
        <n v="400"/>
        <n v="100"/>
        <n v="80"/>
        <n v="600"/>
        <n v="900"/>
        <n v="700"/>
      </sharedItems>
    </cacheField>
    <cacheField name="Admission_Date" numFmtId="14">
      <sharedItems containsSemiMixedTypes="0" containsNonDate="0" containsDate="1" containsString="0" minDate="2024-03-01T00:00:00" maxDate="2024-05-03T00:00:00"/>
    </cacheField>
    <cacheField name="Treatment_Date" numFmtId="14">
      <sharedItems containsSemiMixedTypes="0" containsNonDate="0" containsDate="1" containsString="0" minDate="2024-04-01T00:00:00" maxDate="2025-03-20T00:00:00"/>
    </cacheField>
    <cacheField name="Discharge_Date" numFmtId="14">
      <sharedItems containsSemiMixedTypes="0" containsNonDate="0" containsDate="1" containsString="0" minDate="2024-05-01T00:00:00" maxDate="2025-10-09T00:00:00"/>
    </cacheField>
    <cacheField name="Payment_Status" numFmtId="0">
      <sharedItems/>
    </cacheField>
    <cacheField name="Room_Number" numFmtId="0">
      <sharedItems containsSemiMixedTypes="0" containsString="0" containsNumber="1" containsInteger="1" minValue="101" maxValue="163"/>
    </cacheField>
    <cacheField name="Standardize contact" numFmtId="0">
      <sharedItems/>
    </cacheField>
    <cacheField name="Patient_Contact" numFmtId="0">
      <sharedItems/>
    </cacheField>
    <cacheField name="Relative_Contact" numFmtId="0">
      <sharedItems containsMixedTypes="1" containsNumber="1" containsInteger="1" minValue="765" maxValue="765"/>
    </cacheField>
    <cacheField name="Doctor_Contact" numFmtId="0">
      <sharedItems containsBlank="1"/>
    </cacheField>
    <cacheField name="Insurance_Provider" numFmtId="0">
      <sharedItems containsBlank="1"/>
    </cacheField>
    <cacheField name="Insurance_Claim_Status" numFmtId="0">
      <sharedItems containsBlank="1"/>
    </cacheField>
    <cacheField name="Additional_Notes" numFmtId="0">
      <sharedItems containsBlank="1"/>
    </cacheField>
    <cacheField name="correlation (Age/Cost)" numFmtId="0">
      <sharedItems containsString="0" containsBlank="1" containsNumber="1" minValue="-1" maxValue="-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
    <s v="John Doe"/>
    <x v="0"/>
    <d v="1980-03-12T00:00:00"/>
    <s v="Jane Doe"/>
    <x v="0"/>
    <x v="0"/>
    <d v="1970-05-05T00:00:00"/>
    <x v="0"/>
    <x v="0"/>
    <d v="2024-03-01T00:00:00"/>
    <d v="2024-04-01T00:00:00"/>
    <d v="2024-05-01T00:00:00"/>
    <s v="Paid"/>
    <n v="101"/>
    <s v="(123) 456-7890"/>
    <s v="123-456-7890"/>
    <s v="987-654-3210"/>
    <s v="555-123-4567"/>
    <s v="ABC Insurance"/>
    <s v="Approved"/>
    <s v="N/A"/>
    <n v="-9.9999999999999992E-2"/>
  </r>
  <r>
    <n v="2"/>
    <s v="Alice Smith"/>
    <x v="1"/>
    <d v="1990-06-14T00:00:00"/>
    <s v="Bob Smith"/>
    <x v="1"/>
    <x v="1"/>
    <d v="1965-12-12T00:00:00"/>
    <x v="1"/>
    <x v="1"/>
    <d v="2024-03-02T00:00:00"/>
    <d v="2024-04-02T00:00:00"/>
    <d v="2024-10-02T00:00:00"/>
    <s v="Unpaid"/>
    <n v="102"/>
    <s v="(234) 567-8901"/>
    <s v="234-567-8901"/>
    <s v="876-543-2109"/>
    <s v="555-234-5678"/>
    <s v="XYZ Insurance"/>
    <s v="Pending"/>
    <s v="Follow-up needed"/>
    <n v="-9.9999999999999992E-2"/>
  </r>
  <r>
    <n v="3"/>
    <s v="Bob Brown"/>
    <x v="2"/>
    <d v="1975-11-07T00:00:00"/>
    <s v="Carol Brown"/>
    <x v="2"/>
    <x v="2"/>
    <d v="1970-08-22T00:00:00"/>
    <x v="2"/>
    <x v="2"/>
    <d v="2024-03-03T00:00:00"/>
    <d v="2024-05-03T00:00:00"/>
    <d v="2024-12-03T00:00:00"/>
    <s v="Paid"/>
    <n v="103"/>
    <s v="(345) 678-9012"/>
    <s v="345-678-9012"/>
    <s v="765-432-1098"/>
    <s v="555-345-6789"/>
    <s v="DEF Insurance"/>
    <s v="Denied"/>
    <s v="Special care required"/>
    <n v="-0.09"/>
  </r>
  <r>
    <n v="4"/>
    <s v="Eve White"/>
    <x v="0"/>
    <d v="1985-12-25T00:00:00"/>
    <s v="Dan White"/>
    <x v="3"/>
    <x v="3"/>
    <d v="1980-11-11T00:00:00"/>
    <x v="3"/>
    <x v="3"/>
    <d v="2024-03-04T00:00:00"/>
    <d v="2024-06-04T00:00:00"/>
    <d v="2025-03-04T00:00:00"/>
    <s v="Paid"/>
    <n v="104"/>
    <s v="(456) 789-0123"/>
    <s v="456-789-0123"/>
    <s v="654-321-0987"/>
    <s v="555-456-7890"/>
    <s v="GHI Insurance"/>
    <s v="Approved"/>
    <s v="Urgent care"/>
    <n v="-0.13"/>
  </r>
  <r>
    <n v="5"/>
    <s v="Carl Green"/>
    <x v="3"/>
    <d v="1995-04-01T00:00:00"/>
    <s v="Nancy Green"/>
    <x v="4"/>
    <x v="4"/>
    <d v="1975-03-03T00:00:00"/>
    <x v="4"/>
    <x v="4"/>
    <d v="2024-03-05T00:00:00"/>
    <d v="2024-07-05T00:00:00"/>
    <d v="2025-02-05T00:00:00"/>
    <s v="Unpaid"/>
    <n v="105"/>
    <s v="(567) 890-1234"/>
    <s v="567-890-1234"/>
    <s v="543-210-9876"/>
    <s v="555-567-8901"/>
    <s v="JKL Insurance"/>
    <s v="Pending"/>
    <s v="Surgery required"/>
    <n v="-0.26"/>
  </r>
  <r>
    <n v="6"/>
    <s v="Mike Blue"/>
    <x v="4"/>
    <d v="1965-09-30T00:00:00"/>
    <s v="Lily Blue"/>
    <x v="5"/>
    <x v="5"/>
    <d v="1960-07-25T00:00:00"/>
    <x v="5"/>
    <x v="5"/>
    <d v="2024-03-06T00:00:00"/>
    <d v="2024-10-06T00:00:00"/>
    <d v="2025-08-06T00:00:00"/>
    <s v="Paid"/>
    <n v="106"/>
    <s v="(678) 901-2345"/>
    <s v="678-901-2345"/>
    <s v="432-109-8765"/>
    <s v="555-678-9012"/>
    <s v="MNO Insurance"/>
    <s v="Approved"/>
    <s v="N/A"/>
    <n v="-0.21000000000000002"/>
  </r>
  <r>
    <n v="7"/>
    <s v="Emma Black"/>
    <x v="2"/>
    <d v="1970-12-12T00:00:00"/>
    <m/>
    <x v="6"/>
    <x v="6"/>
    <d v="1955-10-10T00:00:00"/>
    <x v="6"/>
    <x v="6"/>
    <d v="2024-03-07T00:00:00"/>
    <d v="2025-02-07T00:00:00"/>
    <d v="2025-09-07T00:00:00"/>
    <s v="Unpaid"/>
    <n v="107"/>
    <s v="(789) 012-3456"/>
    <s v="789-012-3456"/>
    <s v="321-098-7654"/>
    <s v="555-789-0123"/>
    <s v="PQR Insurance"/>
    <s v="Denied"/>
    <s v="Regular monitoring needed"/>
    <n v="-0.24000000000000002"/>
  </r>
  <r>
    <n v="8"/>
    <s v="David White"/>
    <x v="5"/>
    <d v="1980-02-22T00:00:00"/>
    <s v="Mia White"/>
    <x v="7"/>
    <x v="7"/>
    <d v="1965-03-19T00:00:00"/>
    <x v="7"/>
    <x v="7"/>
    <d v="2024-03-08T00:00:00"/>
    <d v="2024-08-08T00:00:00"/>
    <d v="2025-03-08T00:00:00"/>
    <s v="Paid"/>
    <n v="108"/>
    <s v="(890) 123-4567"/>
    <s v="890-123-4567"/>
    <s v="210-987-6543"/>
    <s v="555-890-1234"/>
    <s v="STU Insurance"/>
    <s v="Approved"/>
    <s v="Inhaler prescription"/>
    <n v="-0.25"/>
  </r>
  <r>
    <n v="9"/>
    <s v="Lucas Brown"/>
    <x v="6"/>
    <d v="2000-07-18T00:00:00"/>
    <s v="Nora Brown"/>
    <x v="8"/>
    <x v="8"/>
    <d v="1975-09-28T00:00:00"/>
    <x v="8"/>
    <x v="8"/>
    <d v="2024-03-09T00:00:00"/>
    <d v="2024-11-09T00:00:00"/>
    <d v="2025-06-09T00:00:00"/>
    <s v="Unpaid"/>
    <n v="109"/>
    <s v="(901) 234-5678"/>
    <s v="901-234-5678"/>
    <s v="109-876-5432"/>
    <s v="555-901-2345"/>
    <s v="VWX Insurance"/>
    <s v="Pending"/>
    <s v="Surgery required"/>
    <n v="-0.25"/>
  </r>
  <r>
    <n v="10"/>
    <s v="Olivia Green"/>
    <x v="7"/>
    <d v="1990-05-05T00:00:00"/>
    <s v="Noah Green"/>
    <x v="9"/>
    <x v="9"/>
    <d v="1960-07-15T00:00:00"/>
    <x v="9"/>
    <x v="9"/>
    <d v="2024-03-10T00:00:00"/>
    <d v="2024-10-10T00:00:00"/>
    <d v="2025-05-10T00:00:00"/>
    <s v="Paid"/>
    <n v="110"/>
    <s v="(012) 345-6789"/>
    <s v="012-345-6789"/>
    <s v="098-765-4321"/>
    <s v="555-012-3456"/>
    <s v="YZA Insurance"/>
    <s v="Approved"/>
    <s v="Prescription medication needed"/>
    <n v="-0.17"/>
  </r>
  <r>
    <n v="11"/>
    <s v="Liam Blue"/>
    <x v="3"/>
    <d v="1975-10-15T00:00:00"/>
    <s v="Ava Blue"/>
    <x v="10"/>
    <x v="10"/>
    <d v="1955-06-20T00:00:00"/>
    <x v="10"/>
    <x v="5"/>
    <d v="2024-03-11T00:00:00"/>
    <d v="2024-12-11T00:00:00"/>
    <d v="2025-07-11T00:00:00"/>
    <s v="Unpaid"/>
    <n v="111"/>
    <s v="(123) 456-7890"/>
    <s v="123-456-7890"/>
    <s v="987-654-3210"/>
    <s v="555-123-4567"/>
    <s v="BCD Insurance"/>
    <s v="Pending"/>
    <s v="Cast required"/>
    <n v="-0.18000000000000002"/>
  </r>
  <r>
    <n v="12"/>
    <s v="Isabella Black"/>
    <x v="8"/>
    <d v="1985-02-28T00:00:00"/>
    <s v="Ethan Black"/>
    <x v="11"/>
    <x v="11"/>
    <d v="1960-04-17T00:00:00"/>
    <x v="11"/>
    <x v="10"/>
    <d v="2024-03-12T00:00:00"/>
    <d v="2024-08-12T00:00:00"/>
    <d v="2025-03-12T00:00:00"/>
    <s v="Paid"/>
    <n v="112"/>
    <s v="(234) 567-8901"/>
    <s v="234-567-8901"/>
    <s v="876-543-2109"/>
    <s v="555-234-5678"/>
    <s v="EFG Insurance"/>
    <s v="Approved"/>
    <s v="Ointment prescription"/>
    <n v="-0.15000000000000002"/>
  </r>
  <r>
    <n v="13"/>
    <s v="Ethan White"/>
    <x v="8"/>
    <d v="2005-11-19T00:00:00"/>
    <s v="Olivia White"/>
    <x v="12"/>
    <x v="12"/>
    <d v="1980-11-08T00:00:00"/>
    <x v="12"/>
    <x v="0"/>
    <d v="2024-03-13T00:00:00"/>
    <d v="2024-10-13T00:00:00"/>
    <d v="2025-03-13T00:00:00"/>
    <s v="Unpaid"/>
    <n v="113"/>
    <s v="(345) 678-9012"/>
    <s v="345-678-9012"/>
    <s v="765-432-1098"/>
    <s v="555-345-6789"/>
    <s v="HIJ Insurance"/>
    <s v="Denied"/>
    <s v="Allergy test required"/>
    <n v="-0.17"/>
  </r>
  <r>
    <n v="14"/>
    <s v="Amelia Brown"/>
    <x v="4"/>
    <d v="1970-06-03T00:00:00"/>
    <s v="James Brown"/>
    <x v="13"/>
    <x v="13"/>
    <d v="1970-01-25T00:00:00"/>
    <x v="13"/>
    <x v="11"/>
    <d v="2024-03-14T00:00:00"/>
    <d v="2024-12-14T00:00:00"/>
    <d v="2025-05-14T00:00:00"/>
    <s v="Paid"/>
    <n v="114"/>
    <s v="(456) 789-0123"/>
    <s v="456-789-0123"/>
    <s v="654-321-0987"/>
    <s v="555-456-7890"/>
    <s v="KLM Insurance"/>
    <s v="Approved"/>
    <s v="Prescription medication needed"/>
    <n v="-0.19"/>
  </r>
  <r>
    <n v="15"/>
    <s v="Mia Green"/>
    <x v="5"/>
    <d v="1990-08-22T00:00:00"/>
    <s v="Lucas Green"/>
    <x v="14"/>
    <x v="14"/>
    <d v="1975-05-09T00:00:00"/>
    <x v="14"/>
    <x v="12"/>
    <d v="2024-03-15T00:00:00"/>
    <d v="2024-05-15T00:00:00"/>
    <d v="2024-10-15T00:00:00"/>
    <s v="Unpaid"/>
    <n v="115"/>
    <s v="(567) 890-1234"/>
    <s v="567-890-1234"/>
    <s v="543-210-9876"/>
    <s v="555-567-8901"/>
    <s v="NOP Insurance"/>
    <s v="Pending"/>
    <s v="Rest and hydration required"/>
    <n v="-0.19"/>
  </r>
  <r>
    <n v="16"/>
    <s v="Noah Blue"/>
    <x v="2"/>
    <d v="1985-12-05T00:00:00"/>
    <s v="Emma Blue"/>
    <x v="15"/>
    <x v="15"/>
    <d v="1965-02-13T00:00:00"/>
    <x v="15"/>
    <x v="13"/>
    <d v="2024-03-16T00:00:00"/>
    <d v="2024-07-16T00:00:00"/>
    <d v="2024-12-16T00:00:00"/>
    <s v="Paid"/>
    <n v="116"/>
    <s v="(678) 901-2345"/>
    <s v="678-901-2345"/>
    <s v="432-109-8765"/>
    <s v="555-678-9012"/>
    <s v="QRS Insurance"/>
    <s v="Approved"/>
    <s v="N/A"/>
    <n v="-0.19"/>
  </r>
  <r>
    <n v="17"/>
    <s v="Aiden Black"/>
    <x v="9"/>
    <d v="2000-04-11T00:00:00"/>
    <s v="Charlotte Black"/>
    <x v="16"/>
    <x v="16"/>
    <d v="1960-03-01T00:00:00"/>
    <x v="16"/>
    <x v="14"/>
    <d v="2024-03-17T00:00:00"/>
    <d v="2024-09-17T00:00:00"/>
    <d v="2025-02-17T00:00:00"/>
    <s v="Unpaid"/>
    <n v="117"/>
    <s v="(789) 012-3456"/>
    <s v="789-012-3456"/>
    <s v="321-098-7654"/>
    <s v="555-789-0123"/>
    <s v="TUV Insurance"/>
    <s v="Denied"/>
    <s v="Antibiotics prescribed"/>
    <n v="-0.18000000000000002"/>
  </r>
  <r>
    <n v="18"/>
    <s v="Ella White"/>
    <x v="1"/>
    <d v="1995-07-15T00:00:00"/>
    <s v="Henry White"/>
    <x v="17"/>
    <x v="17"/>
    <d v="1970-05-07T00:00:00"/>
    <x v="7"/>
    <x v="7"/>
    <d v="2024-03-18T00:00:00"/>
    <d v="2024-11-18T00:00:00"/>
    <d v="2025-05-18T00:00:00"/>
    <s v="Paid"/>
    <n v="118"/>
    <s v="(890) 123-4567"/>
    <s v="890-123-4567"/>
    <s v="210-987-6543"/>
    <s v="555-890-1234"/>
    <s v="WXY Insurance"/>
    <s v="Approved"/>
    <s v="Inhaler prescription"/>
    <n v="-0.19"/>
  </r>
  <r>
    <n v="19"/>
    <s v="Jack Brown"/>
    <x v="10"/>
    <d v="1970-11-10T00:00:00"/>
    <s v="Isabella Brown"/>
    <x v="18"/>
    <x v="18"/>
    <d v="1965-08-15T00:00:00"/>
    <x v="17"/>
    <x v="15"/>
    <d v="2024-03-19T00:00:00"/>
    <d v="2025-03-19T00:00:00"/>
    <d v="2025-09-19T00:00:00"/>
    <s v="Unpaid"/>
    <n v="119"/>
    <s v="(901) 234-5678"/>
    <s v="901-234-5678"/>
    <s v="109-876-5432"/>
    <s v="555-901-2345"/>
    <s v="YZA Insurance"/>
    <s v="Denied"/>
    <s v="Insulin required"/>
    <n v="-0.19"/>
  </r>
  <r>
    <n v="20"/>
    <s v="Charlotte Green"/>
    <x v="11"/>
    <d v="1980-02-25T00:00:00"/>
    <s v="Emily Green"/>
    <x v="19"/>
    <x v="19"/>
    <d v="1960-06-22T00:00:00"/>
    <x v="18"/>
    <x v="16"/>
    <d v="2024-03-20T00:00:00"/>
    <d v="2025-01-20T00:00:00"/>
    <d v="2025-06-20T00:00:00"/>
    <s v="Paid"/>
    <n v="120"/>
    <s v="(012) 345-6789"/>
    <s v="012-345-6789"/>
    <s v="098-765-4321"/>
    <s v="555-012-3456"/>
    <s v="BCD Insurance"/>
    <s v="Approved"/>
    <s v="Pain relief medication"/>
    <n v="-0.17"/>
  </r>
  <r>
    <n v="21"/>
    <s v="Sophia Blue"/>
    <x v="12"/>
    <d v="1975-05-14T00:00:00"/>
    <s v="Benjamin Blue"/>
    <x v="20"/>
    <x v="20"/>
    <d v="1975-04-11T00:00:00"/>
    <x v="0"/>
    <x v="0"/>
    <d v="2024-03-21T00:00:00"/>
    <d v="2024-08-21T00:00:00"/>
    <d v="2025-03-21T00:00:00"/>
    <s v="Unpaid"/>
    <n v="121"/>
    <s v="(123) 456-7890"/>
    <s v="123-456-7890"/>
    <s v="987-654-3210"/>
    <s v="555-123-4567"/>
    <s v="DEF Insurance"/>
    <s v="Pending"/>
    <s v="N/A"/>
    <n v="-0.17"/>
  </r>
  <r>
    <n v="22"/>
    <s v="Jacob Black"/>
    <x v="2"/>
    <d v="1990-10-07T00:00:00"/>
    <s v="Evelyn Black"/>
    <x v="21"/>
    <x v="21"/>
    <d v="1965-01-15T00:00:00"/>
    <x v="19"/>
    <x v="1"/>
    <d v="2024-03-22T00:00:00"/>
    <d v="2024-11-22T00:00:00"/>
    <d v="2025-05-22T00:00:00"/>
    <s v="Paid"/>
    <n v="122"/>
    <s v="(234) 567-8901"/>
    <s v="234-567-8901"/>
    <s v="876-543-2109"/>
    <s v="555-234-5678"/>
    <s v="GHI Insurance"/>
    <s v="Approved"/>
    <s v="Surgery required"/>
    <n v="-0.16"/>
  </r>
  <r>
    <n v="23"/>
    <s v="Emily White"/>
    <x v="8"/>
    <d v="1985-12-23T00:00:00"/>
    <s v="Alexander White"/>
    <x v="22"/>
    <x v="22"/>
    <d v="1960-12-25T00:00:00"/>
    <x v="20"/>
    <x v="12"/>
    <d v="2024-03-23T00:00:00"/>
    <d v="2024-05-23T00:00:00"/>
    <d v="2024-10-23T00:00:00"/>
    <s v="Unpaid"/>
    <n v="123"/>
    <s v="(345) 678-9012"/>
    <s v="345-678-9012"/>
    <s v="765-432-1098"/>
    <s v="555-345-6789"/>
    <s v="HIJ Insurance"/>
    <s v="Pending"/>
    <s v="Antibiotics prescribed"/>
    <n v="-0.22"/>
  </r>
  <r>
    <n v="24"/>
    <s v="Daniel Brown"/>
    <x v="11"/>
    <d v="1965-06-11T00:00:00"/>
    <s v="Grace Brown"/>
    <x v="23"/>
    <x v="23"/>
    <d v="1955-03-03T00:00:00"/>
    <x v="21"/>
    <x v="6"/>
    <d v="2024-03-24T00:00:00"/>
    <d v="2024-07-24T00:00:00"/>
    <d v="2024-12-24T00:00:00"/>
    <s v="Paid"/>
    <n v="124"/>
    <s v="(456) 789-0123"/>
    <s v="456-789-0123"/>
    <s v="654-321-0987"/>
    <s v="555-456-7890"/>
    <s v="JKL Insurance"/>
    <s v="Approved"/>
    <s v="Dietary changes required"/>
    <n v="-0.25"/>
  </r>
  <r>
    <n v="25"/>
    <s v="Grace Green"/>
    <x v="0"/>
    <d v="1990-09-28T00:00:00"/>
    <s v="Michael Green"/>
    <x v="24"/>
    <x v="24"/>
    <d v="1960-10-18T00:00:00"/>
    <x v="22"/>
    <x v="9"/>
    <d v="2024-03-25T00:00:00"/>
    <d v="2024-09-25T00:00:00"/>
    <d v="2025-02-25T00:00:00"/>
    <s v="Unpaid"/>
    <n v="125"/>
    <s v="(567) 890-1234"/>
    <s v="567-890-1234"/>
    <s v="543-210-9876"/>
    <s v="555-567-8901"/>
    <s v="MNO Insurance"/>
    <s v="Pending"/>
    <s v="Physical therapy recommended"/>
    <n v="-0.25"/>
  </r>
  <r>
    <n v="26"/>
    <s v="Olivia Blue"/>
    <x v="5"/>
    <d v="1970-03-03T00:00:00"/>
    <s v="Lucas Blue"/>
    <x v="25"/>
    <x v="25"/>
    <d v="1975-11-12T00:00:00"/>
    <x v="9"/>
    <x v="9"/>
    <d v="2024-03-26T00:00:00"/>
    <d v="2024-12-26T00:00:00"/>
    <d v="2025-06-26T00:00:00"/>
    <s v="Paid"/>
    <n v="126"/>
    <s v="(678) 901-2345"/>
    <s v="678-901-2345"/>
    <s v="432-109-8765"/>
    <s v="555-678-9012"/>
    <s v="NOP Insurance"/>
    <s v="Approved"/>
    <s v="Prescription medication needed"/>
    <n v="-0.24000000000000002"/>
  </r>
  <r>
    <n v="27"/>
    <s v="James Black"/>
    <x v="13"/>
    <d v="1965-11-15T00:00:00"/>
    <s v="Isabella Black"/>
    <x v="26"/>
    <x v="26"/>
    <d v="1960-04-09T00:00:00"/>
    <x v="7"/>
    <x v="7"/>
    <d v="2024-03-27T00:00:00"/>
    <d v="2025-01-27T00:00:00"/>
    <d v="2025-06-27T00:00:00"/>
    <s v="Unpaid"/>
    <n v="127"/>
    <s v="(789) 012-3456"/>
    <s v="789-012-3456"/>
    <s v="321-098-7654"/>
    <s v="555-789-0123"/>
    <s v="QRS Insurance"/>
    <s v="Denied"/>
    <s v="Inhaler prescription"/>
    <n v="-0.24000000000000002"/>
  </r>
  <r>
    <n v="28"/>
    <s v="Alexander White"/>
    <x v="7"/>
    <d v="1980-01-05T00:00:00"/>
    <s v="Ethan White"/>
    <x v="27"/>
    <x v="27"/>
    <d v="1965-08-13T00:00:00"/>
    <x v="0"/>
    <x v="0"/>
    <d v="2024-03-28T00:00:00"/>
    <d v="2024-08-28T00:00:00"/>
    <d v="2025-01-28T00:00:00"/>
    <s v="Paid"/>
    <n v="128"/>
    <s v="(890) 123-4567"/>
    <s v="890-123-4567"/>
    <s v="210-987-6543"/>
    <s v="555-890-1234"/>
    <s v="STU Insurance"/>
    <s v="Approved"/>
    <s v="N/A"/>
    <n v="-0.25"/>
  </r>
  <r>
    <n v="29"/>
    <s v="Mia Brown"/>
    <x v="1"/>
    <d v="1995-04-07T00:00:00"/>
    <s v="Charlotte Brown"/>
    <x v="28"/>
    <x v="28"/>
    <d v="1960-03-25T00:00:00"/>
    <x v="1"/>
    <x v="1"/>
    <d v="2024-03-29T00:00:00"/>
    <d v="2024-12-29T00:00:00"/>
    <d v="2025-06-29T00:00:00"/>
    <s v="Unpaid"/>
    <n v="129"/>
    <s v="(901) 234-5678"/>
    <s v="901-234-5678"/>
    <s v="109-876-5432"/>
    <s v="555-901-2345"/>
    <s v="VWX Insurance"/>
    <s v="Pending"/>
    <s v="Surgery required"/>
    <n v="-0.26"/>
  </r>
  <r>
    <n v="30"/>
    <s v="Charlotte Green"/>
    <x v="8"/>
    <d v="1985-08-18T00:00:00"/>
    <s v="Grace Green"/>
    <x v="29"/>
    <x v="29"/>
    <d v="1970-05-18T00:00:00"/>
    <x v="23"/>
    <x v="6"/>
    <d v="2024-03-30T00:00:00"/>
    <d v="2024-09-30T00:00:00"/>
    <d v="2025-03-02T00:00:00"/>
    <s v="Paid"/>
    <n v="130"/>
    <s v="(012) 345-6789"/>
    <s v="012-345-6789"/>
    <s v="098-765-4321"/>
    <s v="555-012-3456"/>
    <s v="YZA Insurance"/>
    <s v="Approved"/>
    <s v="Medication required"/>
    <n v="-0.25"/>
  </r>
  <r>
    <n v="31"/>
    <s v="Benjamin Blue"/>
    <x v="9"/>
    <d v="1990-11-22T00:00:00"/>
    <s v="Emma Blue"/>
    <x v="30"/>
    <x v="30"/>
    <d v="1965-01-07T00:00:00"/>
    <x v="24"/>
    <x v="12"/>
    <d v="2024-03-31T00:00:00"/>
    <d v="2024-07-31T00:00:00"/>
    <d v="2024-12-31T00:00:00"/>
    <s v="Unpaid"/>
    <n v="131"/>
    <s v="(123) 456-7890"/>
    <s v="123-456-7890"/>
    <s v="987-654-3210"/>
    <s v="555-123-4567"/>
    <s v="ABC Insurance"/>
    <s v="Pending"/>
    <s v="N/A"/>
    <n v="-0.24000000000000002"/>
  </r>
  <r>
    <n v="32"/>
    <s v="Evelyn Black"/>
    <x v="11"/>
    <d v="1965-03-11T00:00:00"/>
    <s v="Liam Black"/>
    <x v="31"/>
    <x v="31"/>
    <d v="1955-02-11T00:00:00"/>
    <x v="10"/>
    <x v="5"/>
    <d v="2024-04-01T00:00:00"/>
    <d v="2024-12-01T00:00:00"/>
    <d v="2025-06-01T00:00:00"/>
    <s v="Paid"/>
    <n v="132"/>
    <s v="(234) 567-8901"/>
    <s v="234-567-8901"/>
    <s v="876-543-2109"/>
    <s v="555-234-5678"/>
    <s v="XYZ Insurance"/>
    <s v="Approved"/>
    <s v="Cast required"/>
    <n v="-0.21000000000000002"/>
  </r>
  <r>
    <n v="33"/>
    <s v="Henry White"/>
    <x v="5"/>
    <d v="1990-12-15T00:00:00"/>
    <s v="Olivia White"/>
    <x v="32"/>
    <x v="32"/>
    <d v="1960-03-28T00:00:00"/>
    <x v="11"/>
    <x v="10"/>
    <d v="2024-04-02T00:00:00"/>
    <d v="2024-10-02T00:00:00"/>
    <d v="2025-03-02T00:00:00"/>
    <s v="Unpaid"/>
    <n v="133"/>
    <s v="(345) 678-9012"/>
    <s v="345-678-9012"/>
    <s v="765-432-1098"/>
    <s v="555-345-6789"/>
    <s v="DEF Insurance"/>
    <s v="Pending"/>
    <s v="Ointment prescription"/>
    <n v="-0.21000000000000002"/>
  </r>
  <r>
    <n v="34"/>
    <s v="Lucas Brown"/>
    <x v="4"/>
    <d v="1985-08-05T00:00:00"/>
    <s v="Charlotte Brown"/>
    <x v="33"/>
    <x v="33"/>
    <d v="1970-04-15T00:00:00"/>
    <x v="21"/>
    <x v="6"/>
    <d v="2024-04-03T00:00:00"/>
    <d v="2024-09-03T00:00:00"/>
    <d v="2025-02-03T00:00:00"/>
    <s v="Paid"/>
    <n v="134"/>
    <s v="(456) 789-0123"/>
    <s v="456-789-0123"/>
    <s v="654-321-0987"/>
    <s v="555-456-7890"/>
    <s v="GHI Insurance"/>
    <s v="Approved"/>
    <s v="Dietary changes required"/>
    <n v="-0.22"/>
  </r>
  <r>
    <n v="35"/>
    <s v="Mia Green"/>
    <x v="0"/>
    <d v="1995-02-18T00:00:00"/>
    <s v="Lucas Green"/>
    <x v="34"/>
    <x v="34"/>
    <d v="1975-01-11T00:00:00"/>
    <x v="22"/>
    <x v="9"/>
    <d v="2024-04-04T00:00:00"/>
    <d v="2024-11-04T00:00:00"/>
    <d v="2025-06-04T00:00:00"/>
    <s v="Unpaid"/>
    <n v="135"/>
    <s v="(567) 890-1234"/>
    <s v="567-890-1234"/>
    <s v="543-210-9876"/>
    <s v="555-567-8901"/>
    <s v="HIJ Insurance"/>
    <s v="Pending"/>
    <s v="Physical therapy recommended"/>
    <n v="-0.27"/>
  </r>
  <r>
    <n v="36"/>
    <s v="Noah Blue"/>
    <x v="7"/>
    <d v="1965-04-25T00:00:00"/>
    <s v="Emma Blue"/>
    <x v="35"/>
    <x v="35"/>
    <d v="1960-08-12T00:00:00"/>
    <x v="9"/>
    <x v="9"/>
    <d v="2024-04-05T00:00:00"/>
    <d v="2024-10-05T00:00:00"/>
    <d v="2025-06-05T00:00:00"/>
    <s v="Paid"/>
    <n v="136"/>
    <s v="(678) 901-2345"/>
    <s v="678-901-2345"/>
    <s v="432-109-8765"/>
    <s v="555-678-9012"/>
    <s v="JKL Insurance"/>
    <s v="Approved"/>
    <s v="Prescription medication needed"/>
    <n v="-0.27"/>
  </r>
  <r>
    <n v="37"/>
    <s v="Emma Black"/>
    <x v="5"/>
    <d v="1975-09-08T00:00:00"/>
    <s v="Jack Black"/>
    <x v="36"/>
    <x v="36"/>
    <d v="1965-06-05T00:00:00"/>
    <x v="7"/>
    <x v="7"/>
    <d v="2024-04-06T00:00:00"/>
    <d v="2025-03-06T00:00:00"/>
    <d v="2025-10-06T00:00:00"/>
    <s v="Unpaid"/>
    <n v="137"/>
    <s v="(789) 012-3456"/>
    <s v="789-012-3456"/>
    <s v="321-098-7654"/>
    <s v="555-789-0123"/>
    <s v="MNO Insurance"/>
    <s v="Denied"/>
    <s v="Inhaler prescription"/>
    <n v="-0.28000000000000003"/>
  </r>
  <r>
    <n v="38"/>
    <s v="David White"/>
    <x v="7"/>
    <d v="1980-01-14T00:00:00"/>
    <s v="Mia White"/>
    <x v="37"/>
    <x v="37"/>
    <d v="1965-09-13T00:00:00"/>
    <x v="0"/>
    <x v="0"/>
    <d v="2024-04-07T00:00:00"/>
    <d v="2024-08-07T00:00:00"/>
    <d v="2025-03-07T00:00:00"/>
    <s v="Paid"/>
    <n v="138"/>
    <s v="(890) 123-4567"/>
    <s v="890-123-4567"/>
    <s v="210-987-6543"/>
    <s v="555-890-1234"/>
    <s v="NOP Insurance"/>
    <s v="Approved"/>
    <s v="N/A"/>
    <n v="-0.28000000000000003"/>
  </r>
  <r>
    <n v="39"/>
    <s v="Lucas Brown"/>
    <x v="11"/>
    <d v="2000-11-19T00:00:00"/>
    <s v="Nora Brown"/>
    <x v="38"/>
    <x v="38"/>
    <d v="1960-10-22T00:00:00"/>
    <x v="1"/>
    <x v="1"/>
    <d v="2024-04-08T00:00:00"/>
    <d v="2025-03-08T00:00:00"/>
    <d v="2025-10-08T00:00:00"/>
    <s v="Unpaid"/>
    <n v="139"/>
    <s v="(901) 234-5678"/>
    <s v="901-234-5678"/>
    <s v="109-876-5432"/>
    <s v="555-901-2345"/>
    <s v="QRS Insurance"/>
    <s v="Pending"/>
    <s v="Surgery required"/>
    <n v="-0.3"/>
  </r>
  <r>
    <n v="40"/>
    <s v="Olivia Green"/>
    <x v="0"/>
    <d v="1990-02-11T00:00:00"/>
    <s v="Noah Green"/>
    <x v="39"/>
    <x v="39"/>
    <d v="1970-04-18T00:00:00"/>
    <x v="23"/>
    <x v="6"/>
    <d v="2024-04-09T00:00:00"/>
    <d v="2024-12-09T00:00:00"/>
    <d v="2025-05-09T00:00:00"/>
    <s v="Paid"/>
    <n v="140"/>
    <s v="(012) 345-6789"/>
    <s v="012-345-6789"/>
    <s v="098-765-4321"/>
    <s v="555-012-3456"/>
    <s v="STU Insurance"/>
    <s v="Approved"/>
    <s v="Medication required"/>
    <n v="-0.34"/>
  </r>
  <r>
    <n v="41"/>
    <s v="Liam Blue"/>
    <x v="3"/>
    <d v="1975-08-25T00:00:00"/>
    <s v="Ava Blue"/>
    <x v="40"/>
    <x v="40"/>
    <d v="1965-07-15T00:00:00"/>
    <x v="24"/>
    <x v="12"/>
    <d v="2024-04-10T00:00:00"/>
    <d v="2024-08-10T00:00:00"/>
    <d v="2025-03-10T00:00:00"/>
    <s v="Unpaid"/>
    <n v="141"/>
    <s v="(123) 456-7890"/>
    <s v="123-456-7890"/>
    <s v="987-654-3210"/>
    <s v="555-123-4567"/>
    <s v="VWX Insurance"/>
    <s v="Pending"/>
    <s v="N/A"/>
    <n v="-0.36"/>
  </r>
  <r>
    <n v="42"/>
    <s v="Isabella Black"/>
    <x v="5"/>
    <d v="1985-04-03T00:00:00"/>
    <s v="Ethan Black"/>
    <x v="41"/>
    <x v="41"/>
    <d v="1955-11-23T00:00:00"/>
    <x v="10"/>
    <x v="5"/>
    <d v="2024-04-11T00:00:00"/>
    <d v="2024-10-11T00:00:00"/>
    <d v="2025-06-11T00:00:00"/>
    <s v="Paid"/>
    <n v="142"/>
    <s v="(234) 567-8901"/>
    <s v="234-567-8901"/>
    <s v="876-543-2109"/>
    <s v="555-234-5678"/>
    <s v="YZA Insurance"/>
    <s v="Approved"/>
    <s v="Cast required"/>
    <n v="-0.43"/>
  </r>
  <r>
    <n v="43"/>
    <s v="Ethan White"/>
    <x v="8"/>
    <d v="2005-05-13T00:00:00"/>
    <s v="Olivia White"/>
    <x v="42"/>
    <x v="42"/>
    <d v="1960-06-17T00:00:00"/>
    <x v="11"/>
    <x v="10"/>
    <d v="2024-04-12T00:00:00"/>
    <d v="2024-12-12T00:00:00"/>
    <d v="2025-06-12T00:00:00"/>
    <s v="Unpaid"/>
    <n v="143"/>
    <s v="(345) 678-9012"/>
    <s v="345-678-9012"/>
    <s v="765-432-1098"/>
    <s v="555-345-6789"/>
    <s v="BCD Insurance"/>
    <s v="Pending"/>
    <s v="Ointment prescription"/>
    <n v="-0.44"/>
  </r>
  <r>
    <n v="44"/>
    <s v="Amelia Brown"/>
    <x v="1"/>
    <d v="1970-02-19T00:00:00"/>
    <s v="James Brown"/>
    <x v="43"/>
    <x v="43"/>
    <d v="1970-09-25T00:00:00"/>
    <x v="12"/>
    <x v="0"/>
    <d v="2024-04-13T00:00:00"/>
    <d v="2024-07-13T00:00:00"/>
    <d v="2024-12-13T00:00:00"/>
    <s v="Paid"/>
    <n v="144"/>
    <s v="(456) 789-0123"/>
    <s v="456-789-0123"/>
    <s v="654-321-0987"/>
    <s v="555-456-7890"/>
    <s v="DEF Insurance"/>
    <s v="Approved"/>
    <s v="Allergy test required"/>
    <n v="-0.49"/>
  </r>
  <r>
    <n v="45"/>
    <s v="Mia Green"/>
    <x v="7"/>
    <d v="1990-01-03T00:00:00"/>
    <s v="Lucas Green"/>
    <x v="44"/>
    <x v="44"/>
    <d v="1960-05-12T00:00:00"/>
    <x v="13"/>
    <x v="11"/>
    <d v="2024-04-14T00:00:00"/>
    <d v="2024-09-14T00:00:00"/>
    <d v="2025-02-14T00:00:00"/>
    <s v="Unpaid"/>
    <n v="145"/>
    <s v="(567) 890-1234"/>
    <s v="567-890-1234"/>
    <s v="543-210-9876"/>
    <s v="555-567-8901"/>
    <s v="EFG Insurance"/>
    <s v="Pending"/>
    <s v="Prescription medication needed"/>
    <n v="-0.52"/>
  </r>
  <r>
    <n v="46"/>
    <s v="Noah Blue"/>
    <x v="13"/>
    <d v="1985-06-11T00:00:00"/>
    <s v="Emma Blue"/>
    <x v="45"/>
    <x v="45"/>
    <d v="1965-07-05T00:00:00"/>
    <x v="14"/>
    <x v="12"/>
    <d v="2024-04-15T00:00:00"/>
    <d v="2024-08-15T00:00:00"/>
    <d v="2024-12-15T00:00:00"/>
    <s v="Paid"/>
    <n v="146"/>
    <s v="(678) 901-2345"/>
    <s v="678-901-2345"/>
    <s v="432-109-8765"/>
    <s v="555-678-9012"/>
    <s v="GHI Insurance"/>
    <s v="Approved"/>
    <s v="Rest and hydration required"/>
    <n v="-0.54"/>
  </r>
  <r>
    <n v="47"/>
    <s v="Emma Black"/>
    <x v="4"/>
    <d v="1975-09-28T00:00:00"/>
    <s v="Jack Black"/>
    <x v="46"/>
    <x v="46"/>
    <d v="1960-11-10T00:00:00"/>
    <x v="15"/>
    <x v="13"/>
    <d v="2024-04-16T00:00:00"/>
    <d v="2024-10-16T00:00:00"/>
    <d v="2025-05-16T00:00:00"/>
    <s v="Unpaid"/>
    <n v="147"/>
    <s v="(789) 012-3456"/>
    <s v="789-012-3456"/>
    <s v="321-098-7654"/>
    <s v="555-789-0123"/>
    <s v="HIJ Insurance"/>
    <s v="Denied"/>
    <s v="N/A"/>
    <n v="-0.52"/>
  </r>
  <r>
    <n v="48"/>
    <s v="David White"/>
    <x v="0"/>
    <d v="1980-02-05T00:00:00"/>
    <s v="Mia White"/>
    <x v="47"/>
    <x v="47"/>
    <d v="1970-02-21T00:00:00"/>
    <x v="16"/>
    <x v="14"/>
    <d v="2024-04-17T00:00:00"/>
    <d v="2024-08-17T00:00:00"/>
    <d v="2025-02-17T00:00:00"/>
    <s v="Paid"/>
    <n v="148"/>
    <s v="(890) 123-4567"/>
    <s v="890-123-4567"/>
    <s v="210-987-6543"/>
    <s v="555-890-1234"/>
    <s v="JKL Insurance"/>
    <s v="Approved"/>
    <s v="Antibiotics prescribed"/>
    <n v="-0.47000000000000003"/>
  </r>
  <r>
    <n v="49"/>
    <s v="Lucas Brown"/>
    <x v="13"/>
    <d v="2000-07-18T00:00:00"/>
    <s v="Nora Brown"/>
    <x v="48"/>
    <x v="48"/>
    <d v="1960-03-11T00:00:00"/>
    <x v="7"/>
    <x v="7"/>
    <d v="2024-04-18T00:00:00"/>
    <d v="2025-01-18T00:00:00"/>
    <d v="2025-06-18T00:00:00"/>
    <s v="Unpaid"/>
    <n v="149"/>
    <s v="(901) 234-5678"/>
    <s v="901-234-5678"/>
    <s v="109-876-5432"/>
    <s v="555-901-2345"/>
    <s v="MNO Insurance"/>
    <s v="Denied"/>
    <s v="Inhaler prescription"/>
    <n v="-0.47000000000000003"/>
  </r>
  <r>
    <n v="50"/>
    <s v="Olivia Green"/>
    <x v="14"/>
    <d v="1995-04-21T00:00:00"/>
    <s v="Noah Green"/>
    <x v="49"/>
    <x v="4"/>
    <d v="1970-08-10T00:00:00"/>
    <x v="17"/>
    <x v="15"/>
    <d v="2024-04-19T00:00:00"/>
    <d v="2025-02-19T00:00:00"/>
    <d v="2025-09-19T00:00:00"/>
    <s v="Paid"/>
    <n v="150"/>
    <s v="(012) 345-6789"/>
    <s v="012-345-6789"/>
    <s v="098-765-4321"/>
    <s v="555-012-3456"/>
    <s v="NOP Insurance"/>
    <s v="Approved"/>
    <s v="Insulin required"/>
    <n v="-0.48"/>
  </r>
  <r>
    <n v="51"/>
    <s v="Liam Blue"/>
    <x v="6"/>
    <d v="1965-06-14T00:00:00"/>
    <s v="Ava Blue"/>
    <x v="50"/>
    <x v="49"/>
    <d v="1975-10-18T00:00:00"/>
    <x v="18"/>
    <x v="16"/>
    <d v="2024-04-20T00:00:00"/>
    <d v="2024-12-20T00:00:00"/>
    <d v="2025-06-20T00:00:00"/>
    <s v="Unpaid"/>
    <n v="151"/>
    <s v="(123) 456-7890"/>
    <s v="123-456-7890"/>
    <s v="987-654-3210"/>
    <s v="555-123-4567"/>
    <s v="QRS Insurance"/>
    <s v="Pending"/>
    <s v="Pain relief medication"/>
    <n v="-0.42"/>
  </r>
  <r>
    <n v="52"/>
    <s v="Isabella Black"/>
    <x v="15"/>
    <d v="2000-09-30T00:00:00"/>
    <s v="Ethan Black"/>
    <x v="51"/>
    <x v="50"/>
    <d v="1960-05-17T00:00:00"/>
    <x v="0"/>
    <x v="0"/>
    <d v="2024-04-21T00:00:00"/>
    <d v="2024-09-21T00:00:00"/>
    <d v="2025-03-21T00:00:00"/>
    <s v="Paid"/>
    <n v="152"/>
    <s v="(234) 567-8901"/>
    <s v="234-567-8901"/>
    <s v="876-543-2109"/>
    <s v="555-234-5678"/>
    <s v="STU Insurance"/>
    <s v="Approved"/>
    <s v="N/A"/>
    <n v="-0.4"/>
  </r>
  <r>
    <n v="53"/>
    <s v="Ethan White"/>
    <x v="11"/>
    <d v="1985-12-27T00:00:00"/>
    <s v="Olivia White"/>
    <x v="52"/>
    <x v="51"/>
    <d v="1965-02-13T00:00:00"/>
    <x v="19"/>
    <x v="1"/>
    <d v="2024-04-22T00:00:00"/>
    <d v="2024-11-22T00:00:00"/>
    <d v="2025-05-22T00:00:00"/>
    <s v="Unpaid"/>
    <n v="153"/>
    <s v="(345) 678-9012"/>
    <s v="345-678-9012"/>
    <s v="765-432-1098"/>
    <s v="555-345-6789"/>
    <s v="VWX Insurance"/>
    <s v="Pending"/>
    <s v="Surgery required"/>
    <n v="-0.36"/>
  </r>
  <r>
    <n v="54"/>
    <s v="Amelia Brown"/>
    <x v="15"/>
    <d v="1990-05-19T00:00:00"/>
    <s v="James Brown"/>
    <x v="53"/>
    <x v="52"/>
    <d v="1955-04-22T00:00:00"/>
    <x v="20"/>
    <x v="12"/>
    <d v="2024-04-23T00:00:00"/>
    <d v="2024-05-23T00:00:00"/>
    <d v="2024-10-23T00:00:00"/>
    <s v="Paid"/>
    <n v="154"/>
    <s v="(456) 789-0123"/>
    <s v="456-789-0123"/>
    <s v="654-321-0987"/>
    <s v="555-456-7890"/>
    <s v="XYZ Insurance"/>
    <s v="Approved"/>
    <s v="Antibiotics prescribed"/>
    <n v="-0.51"/>
  </r>
  <r>
    <n v="55"/>
    <s v="Mia Green"/>
    <x v="14"/>
    <d v="1985-12-07T00:00:00"/>
    <s v="Lucas Green"/>
    <x v="54"/>
    <x v="53"/>
    <d v="1965-03-11T00:00:00"/>
    <x v="21"/>
    <x v="6"/>
    <d v="2024-04-24T00:00:00"/>
    <d v="2024-07-24T00:00:00"/>
    <d v="2024-12-24T00:00:00"/>
    <s v="Unpaid"/>
    <n v="155"/>
    <s v="(567) 890-1234"/>
    <s v="567-890-1234"/>
    <s v="543-210-9876"/>
    <s v="555-567-8901"/>
    <s v="ABC Insurance"/>
    <s v="Pending"/>
    <s v="Dietary changes required"/>
    <n v="-0.41000000000000003"/>
  </r>
  <r>
    <n v="56"/>
    <s v="Noah Blue"/>
    <x v="16"/>
    <d v="1975-08-12T00:00:00"/>
    <s v="Emma Blue"/>
    <x v="55"/>
    <x v="54"/>
    <d v="1960-09-15T00:00:00"/>
    <x v="22"/>
    <x v="9"/>
    <d v="2024-04-25T00:00:00"/>
    <d v="2024-11-25T00:00:00"/>
    <d v="2025-06-25T00:00:00"/>
    <s v="Paid"/>
    <n v="156"/>
    <s v="(678) 901-2345"/>
    <s v="678-901-2345"/>
    <s v="432-109-8765"/>
    <s v="555-678-9012"/>
    <s v="DEF Insurance"/>
    <s v="Approved"/>
    <s v="Physical therapy recommended"/>
    <n v="-0.21000000000000002"/>
  </r>
  <r>
    <n v="57"/>
    <s v="Emma Black"/>
    <x v="2"/>
    <d v="1985-04-05T00:00:00"/>
    <s v="Jack Black"/>
    <x v="56"/>
    <x v="55"/>
    <d v="1965-01-19T00:00:00"/>
    <x v="9"/>
    <x v="9"/>
    <d v="2024-04-26T00:00:00"/>
    <d v="2024-10-26T00:00:00"/>
    <d v="2025-06-26T00:00:00"/>
    <s v="Unpaid"/>
    <n v="157"/>
    <s v="(789) 012-3456"/>
    <s v="789-012-3456"/>
    <s v="321-098-7654"/>
    <s v="555-789-0123"/>
    <s v="EFG Insurance"/>
    <s v="Denied"/>
    <s v="Prescription medication needed"/>
    <n v="-0.5"/>
  </r>
  <r>
    <n v="58"/>
    <s v="David White"/>
    <x v="9"/>
    <d v="1970-10-14T00:00:00"/>
    <s v="Mia White"/>
    <x v="57"/>
    <x v="56"/>
    <d v="1970-06-25T00:00:00"/>
    <x v="7"/>
    <x v="7"/>
    <d v="2024-04-27T00:00:00"/>
    <d v="2024-11-27T00:00:00"/>
    <d v="2025-06-27T00:00:00"/>
    <s v="Paid"/>
    <n v="158"/>
    <s v="(890) 123-4567"/>
    <s v="890-123-4567"/>
    <s v="210-987-6543"/>
    <s v="555-890-1234"/>
    <s v="GHI Insurance"/>
    <s v="Approved"/>
    <s v="Inhaler prescription"/>
    <n v="-0.48"/>
  </r>
  <r>
    <n v="59"/>
    <s v="Lucas Brown"/>
    <x v="5"/>
    <d v="2005-11-03T00:00:00"/>
    <s v="Nora Brown"/>
    <x v="58"/>
    <x v="57"/>
    <d v="1965-04-11T00:00:00"/>
    <x v="14"/>
    <x v="12"/>
    <d v="2024-04-28T00:00:00"/>
    <d v="2024-08-28T00:00:00"/>
    <d v="2024-12-28T00:00:00"/>
    <s v="Unpaid"/>
    <n v="159"/>
    <s v="(901) 234-5678"/>
    <s v="901-234-5678"/>
    <s v="109-876-5432"/>
    <s v="555-901-2345"/>
    <s v="HIJ Insurance"/>
    <s v="Pending"/>
    <s v="Rest and hydration required"/>
    <n v="-0.63"/>
  </r>
  <r>
    <n v="60"/>
    <s v="Olivia Green"/>
    <x v="13"/>
    <d v="1995-09-21T00:00:00"/>
    <s v="Noah Green"/>
    <x v="59"/>
    <x v="58"/>
    <d v="1965-12-10T00:00:00"/>
    <x v="15"/>
    <x v="13"/>
    <d v="2024-04-29T00:00:00"/>
    <d v="2024-05-29T00:00:00"/>
    <d v="2024-10-29T00:00:00"/>
    <s v="Paid"/>
    <n v="160"/>
    <s v="(012) 345-6789"/>
    <s v="012-345-6789"/>
    <s v="098-765-4321"/>
    <s v="555-012-3456"/>
    <s v="JKL Insurance"/>
    <s v="Approved"/>
    <s v="N/A"/>
    <n v="-0.89"/>
  </r>
  <r>
    <n v="61"/>
    <s v="Liam Blue"/>
    <x v="1"/>
    <d v="1985-04-01T00:00:00"/>
    <s v="Ava Blue"/>
    <x v="60"/>
    <x v="59"/>
    <d v="1970-08-15T00:00:00"/>
    <x v="16"/>
    <x v="14"/>
    <d v="2024-04-30T00:00:00"/>
    <d v="2024-11-30T00:00:00"/>
    <d v="2025-05-30T00:00:00"/>
    <s v="Unpaid"/>
    <n v="161"/>
    <s v="(123) 456-7890"/>
    <s v="123-456-7890"/>
    <s v="987-654-3210"/>
    <s v="555-123-4567"/>
    <s v="NOP Insurance"/>
    <s v="Pending"/>
    <s v="Antibiotics prescribed"/>
    <n v="-0.74"/>
  </r>
  <r>
    <n v="62"/>
    <s v="Isabella Black"/>
    <x v="2"/>
    <d v="1970-12-25T00:00:00"/>
    <s v="Ethan Black"/>
    <x v="61"/>
    <x v="2"/>
    <d v="1960-05-18T00:00:00"/>
    <x v="7"/>
    <x v="7"/>
    <d v="2024-05-01T00:00:00"/>
    <d v="2024-12-01T00:00:00"/>
    <d v="2025-06-01T00:00:00"/>
    <s v="Paid"/>
    <n v="162"/>
    <s v="(234) 567-8901"/>
    <s v="234-567-8901"/>
    <s v="876-543-2109"/>
    <s v="555-234-5678"/>
    <s v="QRS Insurance"/>
    <s v="Approved"/>
    <s v="Inhaler prescription"/>
    <n v="-1"/>
  </r>
  <r>
    <n v="63"/>
    <s v="Ethan White"/>
    <x v="7"/>
    <d v="1990-08-11T00:00:00"/>
    <s v="Olivia White"/>
    <x v="62"/>
    <x v="12"/>
    <d v="1960-10-13T00:00:00"/>
    <x v="17"/>
    <x v="15"/>
    <d v="2024-05-02T00:00:00"/>
    <d v="2025-03-02T00:00:00"/>
    <d v="2025-09-02T00:00:00"/>
    <s v="Unpaid"/>
    <n v="163"/>
    <s v="(345) 678-9012"/>
    <s v="345-678-9012"/>
    <n v="76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65CAB-D7A1-4D2B-8096-B6C3648591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Z148:AA174" firstHeaderRow="1" firstDataRow="1" firstDataCol="1"/>
  <pivotFields count="23">
    <pivotField dataField="1" showAll="0"/>
    <pivotField showAll="0"/>
    <pivotField showAll="0">
      <items count="18">
        <item x="14"/>
        <item x="16"/>
        <item x="6"/>
        <item x="3"/>
        <item x="10"/>
        <item x="8"/>
        <item x="7"/>
        <item x="1"/>
        <item x="5"/>
        <item x="11"/>
        <item x="0"/>
        <item x="2"/>
        <item x="12"/>
        <item x="13"/>
        <item x="9"/>
        <item x="15"/>
        <item x="4"/>
        <item t="default"/>
      </items>
    </pivotField>
    <pivotField numFmtId="14" showAll="0"/>
    <pivotField showAll="0"/>
    <pivotField showAll="0">
      <items count="64">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
        <item x="7"/>
        <item x="8"/>
        <item t="default"/>
      </items>
    </pivotField>
    <pivotField axis="axisRow" showAll="0">
      <items count="61">
        <item x="7"/>
        <item x="14"/>
        <item x="33"/>
        <item x="41"/>
        <item x="26"/>
        <item x="40"/>
        <item x="48"/>
        <item x="28"/>
        <item x="44"/>
        <item x="11"/>
        <item x="24"/>
        <item x="35"/>
        <item x="38"/>
        <item x="53"/>
        <item x="23"/>
        <item x="56"/>
        <item x="47"/>
        <item x="50"/>
        <item x="55"/>
        <item x="18"/>
        <item x="13"/>
        <item x="57"/>
        <item x="19"/>
        <item x="49"/>
        <item x="43"/>
        <item x="8"/>
        <item x="58"/>
        <item x="1"/>
        <item x="59"/>
        <item x="16"/>
        <item x="3"/>
        <item x="52"/>
        <item x="2"/>
        <item x="20"/>
        <item x="9"/>
        <item x="10"/>
        <item x="37"/>
        <item x="25"/>
        <item x="45"/>
        <item x="12"/>
        <item x="27"/>
        <item x="4"/>
        <item x="21"/>
        <item x="31"/>
        <item x="36"/>
        <item x="51"/>
        <item x="34"/>
        <item x="30"/>
        <item x="42"/>
        <item x="29"/>
        <item x="17"/>
        <item x="46"/>
        <item x="0"/>
        <item x="6"/>
        <item x="22"/>
        <item x="39"/>
        <item x="32"/>
        <item x="5"/>
        <item x="54"/>
        <item x="15"/>
        <item t="default"/>
      </items>
    </pivotField>
    <pivotField numFmtId="14" showAll="0"/>
    <pivotField axis="axisRow" showAll="0" sortType="ascending">
      <items count="26">
        <item sd="0" x="12"/>
        <item sd="0" x="8"/>
        <item sd="0" x="18"/>
        <item sd="0" x="7"/>
        <item sd="0" x="1"/>
        <item sd="0" x="19"/>
        <item sd="0" x="13"/>
        <item sd="0" x="5"/>
        <item sd="0" x="0"/>
        <item sd="0" x="10"/>
        <item sd="0" x="15"/>
        <item sd="0" x="3"/>
        <item sd="0" x="23"/>
        <item sd="0" x="17"/>
        <item sd="0" x="21"/>
        <item sd="0" x="14"/>
        <item sd="0" x="6"/>
        <item sd="0" x="16"/>
        <item sd="0" x="4"/>
        <item sd="0" x="9"/>
        <item sd="0" x="2"/>
        <item sd="0" x="20"/>
        <item sd="0" x="11"/>
        <item sd="0" x="22"/>
        <item sd="0" x="24"/>
        <item t="default"/>
      </items>
    </pivotField>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2">
    <field x="8"/>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atient_ID" fld="0" subtotal="count" baseField="6" baseItem="0"/>
  </dataFields>
  <chartFormats count="1">
    <chartFormat chart="0" format="6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3A335C-32C1-40D1-997D-502341EA23D2}" autoFormatId="16" applyNumberFormats="0" applyBorderFormats="0" applyFontFormats="0" applyPatternFormats="0" applyAlignmentFormats="0" applyWidthHeightFormats="0">
  <queryTableRefresh nextId="9">
    <queryTableFields count="8">
      <queryTableField id="1" name="Name" tableColumnId="9"/>
      <queryTableField id="2" name="Email" tableColumnId="2"/>
      <queryTableField id="3" name="Course" tableColumnId="3"/>
      <queryTableField id="4" name="Registration Date" tableColumnId="4"/>
      <queryTableField id="5" name="Fee Paid" tableColumnId="5"/>
      <queryTableField id="6" name="Name ID" tableColumnId="6"/>
      <queryTableField id="7" name="Session Start" tableColumnId="7"/>
      <queryTableField id="8" name="Payment Status" tableColumnId="8"/>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370A3-DF0E-420A-A317-17E045B43E17}" name="Table1" displayName="Table1" ref="B9:G19" totalsRowShown="0" headerRowDxfId="63" dataDxfId="62" tableBorderDxfId="61">
  <autoFilter ref="B9:G19" xr:uid="{A33370A3-DF0E-420A-A317-17E045B43E17}"/>
  <tableColumns count="6">
    <tableColumn id="1" xr3:uid="{B6EE359F-9632-46D4-909C-94251E4FF2CA}" name="S.NO" dataDxfId="60"/>
    <tableColumn id="2" xr3:uid="{D89E68FF-F2E5-4327-B019-90521D561C3D}" name="Name" dataDxfId="59"/>
    <tableColumn id="3" xr3:uid="{99813FB9-9987-4BB3-A513-8D4AD2C2B9F8}" name="English" dataDxfId="58"/>
    <tableColumn id="4" xr3:uid="{F40C80C3-4A9B-4B5B-9A43-53EBFED73A5C}" name="Maths" dataDxfId="57"/>
    <tableColumn id="5" xr3:uid="{77C1DEFF-2725-431D-A5C1-0012F301ADBD}" name="Science" dataDxfId="56"/>
    <tableColumn id="6" xr3:uid="{D770F10D-DEC0-4F35-9F62-7CF76FEE8E40}" name="Hindi" dataDxfId="5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817ED1-E095-400D-BC7C-7B03CD032410}" name="Table16" displayName="Table16" ref="C98:G120" totalsRowShown="0" headerRowDxfId="54" dataDxfId="53">
  <autoFilter ref="C98:G120" xr:uid="{82817ED1-E095-400D-BC7C-7B03CD032410}"/>
  <sortState xmlns:xlrd2="http://schemas.microsoft.com/office/spreadsheetml/2017/richdata2" ref="C99:G120">
    <sortCondition ref="C2:C27"/>
  </sortState>
  <tableColumns count="5">
    <tableColumn id="1" xr3:uid="{917B8BEB-3893-4812-A391-FAC6A5B29C97}" name="City" dataDxfId="52"/>
    <tableColumn id="2" xr3:uid="{C88B6CDB-1B79-4E02-AD01-6C55B074D405}" name="Date" dataDxfId="51"/>
    <tableColumn id="3" xr3:uid="{3D5960EC-B137-4E99-BD35-788E26BDFB8B}" name="Fee" dataDxfId="50"/>
    <tableColumn id="4" xr3:uid="{45A89043-AFBE-4ADF-B78A-D39C208EDC39}" name="Attendance" dataDxfId="49"/>
    <tableColumn id="5" xr3:uid="{D56DAE5F-58A4-4E3B-BDF3-CEF87AFAA4BC}" name="Books Sold" dataDxfId="4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9B283C-9E30-417D-8812-C856F955450C}" name="Table2" displayName="Table2" ref="C125:H134" totalsRowShown="0" headerRowDxfId="47" dataDxfId="46" tableBorderDxfId="45" dataCellStyle="Normal_Grades">
  <autoFilter ref="C125:H134" xr:uid="{6D9B283C-9E30-417D-8812-C856F955450C}"/>
  <tableColumns count="6">
    <tableColumn id="1" xr3:uid="{E523E3C7-DF4A-4359-BF13-CB3379A727D5}" name="Student" dataDxfId="44" dataCellStyle="Normal_Grades"/>
    <tableColumn id="2" xr3:uid="{9ED2CE87-7C2E-424C-A368-26916A68D8B7}" name="Quiz1" dataDxfId="43" dataCellStyle="Normal_Grades"/>
    <tableColumn id="4" xr3:uid="{6A3975D1-997D-43DA-B307-E753419310C2}" name="Exam1" dataDxfId="42" dataCellStyle="Normal_Grades"/>
    <tableColumn id="5" xr3:uid="{729FCFC0-881C-4E8B-AB9F-C040A690E01B}" name="Quiz2" dataDxfId="41" dataCellStyle="Normal_Grades"/>
    <tableColumn id="6" xr3:uid="{78CFCC00-CC8D-4AF2-AC84-39AF4EBCADD0}" name="Exam2" dataDxfId="40" dataCellStyle="Normal_Grades"/>
    <tableColumn id="7" xr3:uid="{D94F1931-FAD0-4D19-83F4-338CFC69555A}" name="Grade" dataDxfId="39" dataCellStyle="Normal_Grades">
      <calculatedColumnFormula>(D126+(E126*3)+F126+(G126*3))/8</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311B98-5CB6-4B62-A9BE-7083D53F7030}" name="Table5" displayName="Table5" ref="C140:I146" totalsRowShown="0" headerRowDxfId="38" dataDxfId="37">
  <tableColumns count="7">
    <tableColumn id="1" xr3:uid="{00B0DD30-830A-4BA3-8055-D490A69AA825}" name="Product"/>
    <tableColumn id="2" xr3:uid="{2018881C-6527-4C33-8563-44A2D22FEF43}" name="Shifting" dataDxfId="36"/>
    <tableColumn id="3" xr3:uid="{8F221796-74C0-40AA-995D-0234FF9F9581}" name="Brakes" dataDxfId="35"/>
    <tableColumn id="4" xr3:uid="{1E6114C2-ABEC-4E1B-8D9B-CD217E817579}" name="Handle_x000a_Bars" dataDxfId="34"/>
    <tableColumn id="5" xr3:uid="{4097F1A7-F7D1-434A-AC6D-DBB837908890}" name="Seat" dataDxfId="33"/>
    <tableColumn id="6" xr3:uid="{CFDF5797-3ED2-42B1-9D50-458E476A637E}" name="Frequency_x000a_of Repair" dataDxfId="32"/>
    <tableColumn id="7" xr3:uid="{30CE1FD1-EDD5-4D94-B56C-B4CB5FBDB4CF}" name="Overall_x000a_Score" dataDxfId="31">
      <calculatedColumnFormula>AVERAGE(D141:H141)</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35009D-9FCE-4275-9A4E-B41B510CD0B3}" name="Table4" displayName="Table4" ref="C151:E163" totalsRowShown="0">
  <autoFilter ref="C151:E163" xr:uid="{CE35009D-9FCE-4275-9A4E-B41B510CD0B3}"/>
  <tableColumns count="3">
    <tableColumn id="1" xr3:uid="{31E2003F-926A-48CF-AAB9-B38E417489C9}" name="FY 2020"/>
    <tableColumn id="2" xr3:uid="{DE010880-B8D5-4232-B75B-C060E0892E75}" name="Profits" dataDxfId="30"/>
    <tableColumn id="3" xr3:uid="{9023EF40-6416-4E4E-BAEA-C049F1D3EBEF}" name="Trend" dataDxfId="29">
      <calculatedColumnFormula>D152-D151</calculatedColumnFormula>
    </tableColumn>
  </tableColumns>
  <tableStyleInfo name="TableStyleDark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DAEB42-BEAA-4A9E-9743-C8D2564BFE76}" name="Table6" displayName="Table6" ref="C169:D178" totalsRowCount="1">
  <autoFilter ref="C169:D177" xr:uid="{E4DAEB42-BEAA-4A9E-9743-C8D2564BFE76}"/>
  <tableColumns count="2">
    <tableColumn id="1" xr3:uid="{2EF4A39E-3EF2-4687-9C82-B21101E1F403}" name="Region" totalsRowLabel="Total"/>
    <tableColumn id="2" xr3:uid="{90A2BFFC-5BF2-4E70-8891-6718CBADDAD9}" name="Sales" totalsRowFunction="sum" dataDxfId="28" totalsRowDxfId="2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92ECC-CFC4-413F-92BF-AA35D2BE48D5}" name="Ring_of_Power" displayName="Ring_of_Power" ref="B8:I73" tableType="queryTable" totalsRowShown="0" headerRowDxfId="26" dataDxfId="25">
  <autoFilter ref="B8:I73" xr:uid="{91F92ECC-CFC4-413F-92BF-AA35D2BE48D5}"/>
  <tableColumns count="8">
    <tableColumn id="9" xr3:uid="{9551B532-61E7-4BD8-97D7-00DCA0CFDF7C}" uniqueName="9" name="Name" queryTableFieldId="1" dataDxfId="24"/>
    <tableColumn id="2" xr3:uid="{560C2530-C06E-45AF-A9C4-B4EDC83D1911}" uniqueName="2" name="Email" queryTableFieldId="2" dataDxfId="23"/>
    <tableColumn id="3" xr3:uid="{90A53DFB-F0B3-43EE-B978-5CD1323CDE04}" uniqueName="3" name="Course" queryTableFieldId="3" dataDxfId="22"/>
    <tableColumn id="4" xr3:uid="{DA85AEB8-9F8A-4A8E-96AF-865F535FF01E}" uniqueName="4" name="Registration Date" queryTableFieldId="4" dataDxfId="21"/>
    <tableColumn id="5" xr3:uid="{C2A6CEDE-B3CD-4ADB-9D8A-3BF42953F7EA}" uniqueName="5" name="Fee Paid" queryTableFieldId="5" dataDxfId="20"/>
    <tableColumn id="6" xr3:uid="{C48B1E1C-C1A6-4C21-A109-A37486EBE9BC}" uniqueName="6" name="Name ID" queryTableFieldId="6" dataDxfId="19"/>
    <tableColumn id="7" xr3:uid="{B5E66227-8DCC-4D7D-A24A-AC26DE5E068C}" uniqueName="7" name="Session Start" queryTableFieldId="7" dataDxfId="18"/>
    <tableColumn id="8" xr3:uid="{1A78E90A-0AFE-481B-A5AA-A99A05E9472F}" uniqueName="8" name="Payment Status" queryTableFieldId="8" dataDxf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ED68-01DE-4A17-87E3-FF02CB425309}">
  <sheetPr codeName="Sheet3"/>
  <dimension ref="A1:S43"/>
  <sheetViews>
    <sheetView tabSelected="1" zoomScale="95" zoomScaleNormal="145" workbookViewId="0">
      <selection activeCell="I44" sqref="I44"/>
    </sheetView>
  </sheetViews>
  <sheetFormatPr defaultRowHeight="15"/>
  <cols>
    <col min="2" max="2" width="15.7109375" style="1" customWidth="1"/>
    <col min="3" max="7" width="15.7109375" customWidth="1"/>
    <col min="8" max="11" width="25.7109375" customWidth="1"/>
    <col min="12" max="17" width="15.7109375" customWidth="1"/>
    <col min="18" max="18" width="10.85546875" bestFit="1" customWidth="1"/>
    <col min="19" max="19" width="60.7109375" style="6" customWidth="1"/>
    <col min="21" max="21" width="20.140625" bestFit="1" customWidth="1"/>
  </cols>
  <sheetData>
    <row r="1" spans="1:19" ht="15.75" thickBot="1"/>
    <row r="2" spans="1:19" ht="29.25" thickBot="1">
      <c r="F2" s="484" t="s">
        <v>25</v>
      </c>
      <c r="G2" s="485"/>
      <c r="H2" s="485"/>
      <c r="I2" s="485"/>
      <c r="J2" s="485"/>
      <c r="K2" s="485"/>
      <c r="L2" s="486"/>
    </row>
    <row r="3" spans="1:19">
      <c r="A3" s="5"/>
      <c r="B3" s="5"/>
      <c r="C3" s="5"/>
    </row>
    <row r="4" spans="1:19" ht="28.5">
      <c r="A4" s="5"/>
      <c r="B4" s="5"/>
      <c r="C4" s="5"/>
      <c r="F4" s="487" t="s">
        <v>916</v>
      </c>
      <c r="G4" s="488"/>
      <c r="H4" s="488"/>
      <c r="I4" s="489"/>
      <c r="J4" s="489"/>
      <c r="K4" s="488"/>
      <c r="L4" s="490"/>
      <c r="S4" s="304" t="s">
        <v>28</v>
      </c>
    </row>
    <row r="5" spans="1:19">
      <c r="A5" s="5"/>
      <c r="B5" s="5"/>
      <c r="C5" s="5"/>
      <c r="F5" s="6"/>
      <c r="G5" s="6"/>
      <c r="H5" s="6"/>
      <c r="I5" s="6"/>
      <c r="J5" s="6"/>
      <c r="K5" s="6"/>
      <c r="L5" s="6"/>
    </row>
    <row r="6" spans="1:19">
      <c r="A6" s="5"/>
      <c r="B6" s="497" t="s">
        <v>27</v>
      </c>
      <c r="C6" s="497"/>
      <c r="D6" s="497"/>
      <c r="E6" s="497"/>
      <c r="F6" s="497"/>
      <c r="G6" s="497"/>
      <c r="L6" s="498" t="s">
        <v>26</v>
      </c>
      <c r="M6" s="498"/>
      <c r="N6" s="498"/>
      <c r="O6" s="498"/>
      <c r="P6" s="498"/>
      <c r="Q6" s="498"/>
    </row>
    <row r="7" spans="1:19" ht="20.100000000000001" customHeight="1" thickBot="1">
      <c r="A7" s="3"/>
      <c r="B7" s="3"/>
      <c r="C7" s="3"/>
      <c r="S7" s="6" t="s">
        <v>29</v>
      </c>
    </row>
    <row r="8" spans="1:19" ht="20.100000000000001" customHeight="1">
      <c r="B8" s="502" t="s">
        <v>16</v>
      </c>
      <c r="C8" s="503"/>
      <c r="D8" s="503"/>
      <c r="E8" s="503"/>
      <c r="F8" s="503"/>
      <c r="G8" s="504"/>
      <c r="L8" s="499" t="s">
        <v>16</v>
      </c>
      <c r="M8" s="500"/>
      <c r="N8" s="500"/>
      <c r="O8" s="500"/>
      <c r="P8" s="500"/>
      <c r="Q8" s="501"/>
    </row>
    <row r="9" spans="1:19" ht="20.100000000000001" customHeight="1" thickBot="1">
      <c r="B9" s="1" t="s">
        <v>0</v>
      </c>
      <c r="C9" s="4" t="s">
        <v>1</v>
      </c>
      <c r="D9" s="4" t="s">
        <v>12</v>
      </c>
      <c r="E9" s="4" t="s">
        <v>13</v>
      </c>
      <c r="F9" s="4" t="s">
        <v>14</v>
      </c>
      <c r="G9" s="4" t="s">
        <v>15</v>
      </c>
      <c r="L9" s="297" t="s">
        <v>0</v>
      </c>
      <c r="M9" s="298" t="s">
        <v>1</v>
      </c>
      <c r="N9" s="298" t="s">
        <v>12</v>
      </c>
      <c r="O9" s="298" t="s">
        <v>13</v>
      </c>
      <c r="P9" s="298" t="s">
        <v>14</v>
      </c>
      <c r="Q9" s="298" t="s">
        <v>15</v>
      </c>
    </row>
    <row r="10" spans="1:19" ht="20.100000000000001" customHeight="1" thickTop="1">
      <c r="B10" s="1">
        <v>1</v>
      </c>
      <c r="C10" s="2" t="s">
        <v>2</v>
      </c>
      <c r="D10" s="2">
        <v>85</v>
      </c>
      <c r="E10" s="2">
        <v>47</v>
      </c>
      <c r="F10" s="2">
        <v>22</v>
      </c>
      <c r="G10" s="2">
        <v>39</v>
      </c>
      <c r="L10" s="299">
        <v>1</v>
      </c>
      <c r="M10" s="300" t="s">
        <v>2</v>
      </c>
      <c r="N10" s="300">
        <v>85</v>
      </c>
      <c r="O10" s="300">
        <v>47</v>
      </c>
      <c r="P10" s="300">
        <v>22</v>
      </c>
      <c r="Q10" s="300">
        <v>39</v>
      </c>
    </row>
    <row r="11" spans="1:19" ht="20.100000000000001" customHeight="1">
      <c r="B11" s="1">
        <v>2</v>
      </c>
      <c r="C11" s="2" t="s">
        <v>3</v>
      </c>
      <c r="D11" s="2">
        <v>92</v>
      </c>
      <c r="E11" s="2">
        <v>33</v>
      </c>
      <c r="F11" s="2">
        <v>56</v>
      </c>
      <c r="G11" s="2">
        <v>78</v>
      </c>
      <c r="L11" s="301">
        <v>2</v>
      </c>
      <c r="M11" s="296" t="s">
        <v>3</v>
      </c>
      <c r="N11" s="296">
        <v>92</v>
      </c>
      <c r="O11" s="296">
        <v>33</v>
      </c>
      <c r="P11" s="296">
        <v>56</v>
      </c>
      <c r="Q11" s="296">
        <v>78</v>
      </c>
    </row>
    <row r="12" spans="1:19" ht="20.100000000000001" customHeight="1">
      <c r="B12" s="1">
        <v>3</v>
      </c>
      <c r="C12" s="2" t="s">
        <v>4</v>
      </c>
      <c r="D12" s="2">
        <v>78</v>
      </c>
      <c r="E12" s="2">
        <v>15</v>
      </c>
      <c r="F12" s="2">
        <v>91</v>
      </c>
      <c r="G12" s="2">
        <v>64</v>
      </c>
      <c r="L12" s="302">
        <v>3</v>
      </c>
      <c r="M12" s="303" t="s">
        <v>4</v>
      </c>
      <c r="N12" s="303">
        <v>78</v>
      </c>
      <c r="O12" s="303">
        <v>15</v>
      </c>
      <c r="P12" s="303">
        <v>91</v>
      </c>
      <c r="Q12" s="303">
        <v>64</v>
      </c>
    </row>
    <row r="13" spans="1:19" ht="20.100000000000001" customHeight="1">
      <c r="B13" s="1">
        <v>4</v>
      </c>
      <c r="C13" s="2" t="s">
        <v>5</v>
      </c>
      <c r="D13" s="2">
        <v>88</v>
      </c>
      <c r="E13" s="2">
        <v>29</v>
      </c>
      <c r="F13" s="2">
        <v>43</v>
      </c>
      <c r="G13" s="2">
        <v>50</v>
      </c>
      <c r="L13" s="301">
        <v>4</v>
      </c>
      <c r="M13" s="296" t="s">
        <v>5</v>
      </c>
      <c r="N13" s="296"/>
      <c r="O13" s="296">
        <v>29</v>
      </c>
      <c r="P13" s="296">
        <v>43</v>
      </c>
      <c r="Q13" s="296">
        <v>50</v>
      </c>
    </row>
    <row r="14" spans="1:19" ht="20.100000000000001" customHeight="1">
      <c r="B14" s="1">
        <v>5</v>
      </c>
      <c r="C14" s="2" t="s">
        <v>6</v>
      </c>
      <c r="D14" s="2">
        <v>95</v>
      </c>
      <c r="E14" s="2">
        <v>67</v>
      </c>
      <c r="F14" s="2">
        <v>85</v>
      </c>
      <c r="G14" s="2">
        <v>19</v>
      </c>
      <c r="L14" s="302">
        <v>5</v>
      </c>
      <c r="M14" s="303" t="s">
        <v>6</v>
      </c>
      <c r="N14" s="303">
        <v>95</v>
      </c>
      <c r="O14" s="303">
        <v>67</v>
      </c>
      <c r="P14" s="303">
        <v>85</v>
      </c>
      <c r="Q14" s="303">
        <v>19</v>
      </c>
    </row>
    <row r="15" spans="1:19" ht="20.100000000000001" customHeight="1">
      <c r="B15" s="1">
        <v>6</v>
      </c>
      <c r="C15" s="2" t="s">
        <v>7</v>
      </c>
      <c r="D15" s="2">
        <v>81</v>
      </c>
      <c r="E15" s="2">
        <v>24</v>
      </c>
      <c r="F15" s="2">
        <v>72</v>
      </c>
      <c r="G15" s="2">
        <v>88</v>
      </c>
      <c r="L15" s="301">
        <v>6</v>
      </c>
      <c r="M15" s="296" t="s">
        <v>7</v>
      </c>
      <c r="N15" s="296">
        <v>81</v>
      </c>
      <c r="O15" s="296">
        <v>24</v>
      </c>
      <c r="P15" s="296">
        <v>72</v>
      </c>
      <c r="Q15" s="296">
        <v>88</v>
      </c>
    </row>
    <row r="16" spans="1:19" ht="20.100000000000001" customHeight="1">
      <c r="B16" s="1">
        <v>7</v>
      </c>
      <c r="C16" s="2" t="s">
        <v>8</v>
      </c>
      <c r="D16" s="2">
        <v>89</v>
      </c>
      <c r="E16" s="2">
        <v>31</v>
      </c>
      <c r="F16" s="2">
        <v>18</v>
      </c>
      <c r="G16" s="2">
        <v>75</v>
      </c>
      <c r="L16" s="302">
        <v>7</v>
      </c>
      <c r="M16" s="303" t="s">
        <v>8</v>
      </c>
      <c r="N16" s="303">
        <v>89</v>
      </c>
      <c r="O16" s="303">
        <v>31</v>
      </c>
      <c r="P16" s="303">
        <v>18</v>
      </c>
      <c r="Q16" s="303">
        <v>75</v>
      </c>
    </row>
    <row r="17" spans="2:17" ht="20.100000000000001" customHeight="1">
      <c r="B17" s="1">
        <v>8</v>
      </c>
      <c r="C17" s="2" t="s">
        <v>9</v>
      </c>
      <c r="D17" s="2">
        <v>76</v>
      </c>
      <c r="E17" s="2">
        <v>58</v>
      </c>
      <c r="F17" s="2">
        <v>92</v>
      </c>
      <c r="G17" s="2">
        <v>13</v>
      </c>
      <c r="L17" s="301">
        <v>8</v>
      </c>
      <c r="M17" s="296" t="s">
        <v>9</v>
      </c>
      <c r="N17" s="296">
        <v>76</v>
      </c>
      <c r="O17" s="296">
        <v>58</v>
      </c>
      <c r="P17" s="296">
        <v>92</v>
      </c>
      <c r="Q17" s="296">
        <v>13</v>
      </c>
    </row>
    <row r="18" spans="2:17" ht="20.100000000000001" customHeight="1">
      <c r="B18" s="1">
        <v>9</v>
      </c>
      <c r="C18" s="2" t="s">
        <v>10</v>
      </c>
      <c r="D18" s="2">
        <v>91</v>
      </c>
      <c r="E18" s="2">
        <v>44</v>
      </c>
      <c r="F18" s="2">
        <v>38</v>
      </c>
      <c r="G18" s="2">
        <v>61</v>
      </c>
      <c r="L18" s="302">
        <v>9</v>
      </c>
      <c r="M18" s="303" t="s">
        <v>10</v>
      </c>
      <c r="N18" s="303">
        <v>91</v>
      </c>
      <c r="O18" s="303">
        <v>44</v>
      </c>
      <c r="P18" s="303">
        <v>38</v>
      </c>
      <c r="Q18" s="303">
        <v>61</v>
      </c>
    </row>
    <row r="19" spans="2:17" ht="20.100000000000001" customHeight="1">
      <c r="B19" s="1">
        <v>10</v>
      </c>
      <c r="C19" s="2" t="s">
        <v>11</v>
      </c>
      <c r="D19" s="2">
        <v>84</v>
      </c>
      <c r="E19" s="2">
        <v>76</v>
      </c>
      <c r="F19" s="2">
        <v>53</v>
      </c>
      <c r="G19" s="2">
        <v>27</v>
      </c>
      <c r="L19" s="301">
        <v>10</v>
      </c>
      <c r="M19" s="296" t="s">
        <v>11</v>
      </c>
      <c r="N19" s="296">
        <v>84</v>
      </c>
      <c r="O19" s="296">
        <v>76</v>
      </c>
      <c r="P19" s="296">
        <v>53</v>
      </c>
      <c r="Q19" s="296">
        <v>27</v>
      </c>
    </row>
    <row r="20" spans="2:17">
      <c r="C20" s="2"/>
      <c r="D20" s="2"/>
      <c r="E20" s="2"/>
      <c r="F20" s="2"/>
      <c r="G20" s="2"/>
    </row>
    <row r="21" spans="2:17" ht="15.75" thickBot="1">
      <c r="C21" s="2"/>
      <c r="D21" s="2"/>
      <c r="E21" s="2"/>
      <c r="F21" s="2"/>
      <c r="G21" s="2"/>
    </row>
    <row r="22" spans="2:17">
      <c r="H22" s="283"/>
      <c r="I22" s="284"/>
      <c r="J22" s="284"/>
      <c r="K22" s="285"/>
    </row>
    <row r="23" spans="2:17" ht="23.25">
      <c r="H23" s="494" t="s">
        <v>915</v>
      </c>
      <c r="I23" s="495"/>
      <c r="J23" s="495"/>
      <c r="K23" s="496"/>
    </row>
    <row r="24" spans="2:17">
      <c r="H24" s="129"/>
      <c r="K24" s="130"/>
    </row>
    <row r="25" spans="2:17">
      <c r="H25" s="491" t="s">
        <v>17</v>
      </c>
      <c r="I25" s="492"/>
      <c r="J25" s="492"/>
      <c r="K25" s="493"/>
    </row>
    <row r="26" spans="2:17">
      <c r="H26" s="286"/>
      <c r="I26" s="131"/>
      <c r="J26" s="7"/>
      <c r="K26" s="287"/>
    </row>
    <row r="27" spans="2:17">
      <c r="H27" s="288" t="s">
        <v>299</v>
      </c>
      <c r="I27" s="125" t="s">
        <v>18</v>
      </c>
      <c r="J27" s="125" t="s">
        <v>19</v>
      </c>
      <c r="K27" s="289" t="s">
        <v>22</v>
      </c>
    </row>
    <row r="28" spans="2:17">
      <c r="H28" s="290" t="s">
        <v>23</v>
      </c>
      <c r="I28" s="127">
        <f ca="1">TODAY()</f>
        <v>45722</v>
      </c>
      <c r="J28" s="127">
        <v>26523</v>
      </c>
      <c r="K28" s="427">
        <f ca="1">I28-J28</f>
        <v>19199</v>
      </c>
    </row>
    <row r="29" spans="2:17">
      <c r="H29" s="291"/>
      <c r="I29" s="280"/>
      <c r="J29" s="280"/>
      <c r="K29" s="117"/>
    </row>
    <row r="30" spans="2:17">
      <c r="H30" s="291"/>
      <c r="I30" s="8"/>
      <c r="J30" s="8"/>
      <c r="K30" s="287"/>
    </row>
    <row r="31" spans="2:17">
      <c r="H31" s="288" t="s">
        <v>299</v>
      </c>
      <c r="I31" s="125" t="s">
        <v>18</v>
      </c>
      <c r="J31" s="282" t="s">
        <v>21</v>
      </c>
      <c r="K31" s="289" t="s">
        <v>24</v>
      </c>
    </row>
    <row r="32" spans="2:17">
      <c r="H32" s="290" t="s">
        <v>298</v>
      </c>
      <c r="I32" s="127">
        <f ca="1">TODAY()</f>
        <v>45722</v>
      </c>
      <c r="J32" s="128">
        <v>6386</v>
      </c>
      <c r="K32" s="428">
        <f ca="1">I32-J32</f>
        <v>39336</v>
      </c>
    </row>
    <row r="33" spans="8:11">
      <c r="H33" s="116"/>
      <c r="I33" s="6"/>
      <c r="J33" s="6"/>
      <c r="K33" s="117"/>
    </row>
    <row r="34" spans="8:11">
      <c r="H34" s="291"/>
      <c r="I34" s="8"/>
      <c r="J34" s="8"/>
      <c r="K34" s="287"/>
    </row>
    <row r="35" spans="8:11">
      <c r="H35" s="288" t="s">
        <v>299</v>
      </c>
      <c r="I35" s="125" t="s">
        <v>300</v>
      </c>
      <c r="J35" s="125" t="s">
        <v>302</v>
      </c>
      <c r="K35" s="289" t="s">
        <v>301</v>
      </c>
    </row>
    <row r="36" spans="8:11">
      <c r="H36" s="292" t="s">
        <v>298</v>
      </c>
      <c r="I36" s="281">
        <v>19170</v>
      </c>
      <c r="J36" s="429">
        <f>I36*24</f>
        <v>460080</v>
      </c>
      <c r="K36" s="430">
        <f>J36*60</f>
        <v>27604800</v>
      </c>
    </row>
    <row r="37" spans="8:11">
      <c r="H37" s="129"/>
      <c r="K37" s="117"/>
    </row>
    <row r="38" spans="8:11">
      <c r="H38" s="129"/>
      <c r="K38" s="130"/>
    </row>
    <row r="39" spans="8:11">
      <c r="H39" s="288" t="s">
        <v>299</v>
      </c>
      <c r="I39" s="125" t="s">
        <v>300</v>
      </c>
      <c r="J39" s="282" t="s">
        <v>914</v>
      </c>
      <c r="K39" s="130"/>
    </row>
    <row r="40" spans="8:11">
      <c r="H40" s="292" t="s">
        <v>298</v>
      </c>
      <c r="I40" s="126">
        <v>4078</v>
      </c>
      <c r="J40" s="431">
        <f>INT(I40/365.5)</f>
        <v>11</v>
      </c>
      <c r="K40" s="130"/>
    </row>
    <row r="41" spans="8:11">
      <c r="H41" s="129"/>
      <c r="K41" s="130"/>
    </row>
    <row r="42" spans="8:11">
      <c r="H42" s="288" t="s">
        <v>299</v>
      </c>
      <c r="I42" s="125" t="s">
        <v>19</v>
      </c>
      <c r="J42" s="282" t="s">
        <v>914</v>
      </c>
      <c r="K42" s="117"/>
    </row>
    <row r="43" spans="8:11" ht="15.75" thickBot="1">
      <c r="H43" s="118" t="s">
        <v>19</v>
      </c>
      <c r="I43" s="293">
        <v>26523</v>
      </c>
      <c r="J43" s="432">
        <f ca="1">INT((TODAY()-I43)/365.5)</f>
        <v>52</v>
      </c>
      <c r="K43" s="120"/>
    </row>
  </sheetData>
  <mergeCells count="8">
    <mergeCell ref="F2:L2"/>
    <mergeCell ref="F4:L4"/>
    <mergeCell ref="H25:K25"/>
    <mergeCell ref="H23:K23"/>
    <mergeCell ref="B6:G6"/>
    <mergeCell ref="L6:Q6"/>
    <mergeCell ref="L8:Q8"/>
    <mergeCell ref="B8:G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F58B4-6D13-4E1B-8F04-0B04C781F912}">
  <sheetPr codeName="Sheet4"/>
  <dimension ref="B1:R63"/>
  <sheetViews>
    <sheetView zoomScaleNormal="100" workbookViewId="0">
      <selection activeCell="L47" sqref="L47"/>
    </sheetView>
  </sheetViews>
  <sheetFormatPr defaultRowHeight="15"/>
  <cols>
    <col min="2" max="3" width="10.7109375" customWidth="1"/>
    <col min="18" max="18" width="60.7109375" customWidth="1"/>
  </cols>
  <sheetData>
    <row r="1" spans="3:18" ht="15.75" thickBot="1"/>
    <row r="2" spans="3:18" ht="29.25" thickBot="1">
      <c r="G2" s="484" t="s">
        <v>20</v>
      </c>
      <c r="H2" s="485"/>
      <c r="I2" s="485"/>
      <c r="J2" s="485"/>
      <c r="K2" s="485"/>
      <c r="L2" s="486"/>
    </row>
    <row r="3" spans="3:18">
      <c r="G3" s="21"/>
      <c r="H3" s="21"/>
      <c r="I3" s="21"/>
      <c r="J3" s="21"/>
      <c r="K3" s="21"/>
      <c r="L3" s="21"/>
    </row>
    <row r="4" spans="3:18" ht="28.5">
      <c r="G4" s="510" t="s">
        <v>43</v>
      </c>
      <c r="H4" s="511"/>
      <c r="I4" s="511"/>
      <c r="J4" s="511"/>
      <c r="K4" s="511"/>
      <c r="L4" s="512"/>
      <c r="R4" s="305" t="s">
        <v>28</v>
      </c>
    </row>
    <row r="6" spans="3:18">
      <c r="D6" s="498" t="s">
        <v>30</v>
      </c>
      <c r="E6" s="498"/>
      <c r="F6" s="498"/>
      <c r="G6" s="498"/>
      <c r="K6" s="498" t="s">
        <v>31</v>
      </c>
      <c r="L6" s="498"/>
      <c r="M6" s="498"/>
      <c r="N6" s="498"/>
      <c r="R6" s="8"/>
    </row>
    <row r="7" spans="3:18">
      <c r="D7" s="9"/>
      <c r="E7" s="9"/>
      <c r="F7" s="9"/>
      <c r="G7" s="9"/>
      <c r="R7" s="8" t="s">
        <v>200</v>
      </c>
    </row>
    <row r="8" spans="3:18">
      <c r="C8" s="10">
        <f ca="1">RANDBETWEEN(30,500)</f>
        <v>276</v>
      </c>
      <c r="D8" s="11">
        <f t="shared" ref="D8:H8" ca="1" si="0">RANDBETWEEN(30,500)</f>
        <v>131</v>
      </c>
      <c r="E8" s="11">
        <f t="shared" ca="1" si="0"/>
        <v>424</v>
      </c>
      <c r="F8" s="11">
        <f t="shared" ca="1" si="0"/>
        <v>120</v>
      </c>
      <c r="G8" s="11">
        <f t="shared" ca="1" si="0"/>
        <v>457</v>
      </c>
      <c r="H8" s="12">
        <f t="shared" ca="1" si="0"/>
        <v>247</v>
      </c>
      <c r="J8" s="10">
        <v>249</v>
      </c>
      <c r="K8" s="11">
        <v>171</v>
      </c>
      <c r="L8" s="11">
        <v>458</v>
      </c>
      <c r="M8" s="11">
        <v>150</v>
      </c>
      <c r="N8" s="11">
        <v>303</v>
      </c>
      <c r="O8" s="12">
        <v>308</v>
      </c>
      <c r="R8" s="8"/>
    </row>
    <row r="9" spans="3:18">
      <c r="C9" s="13">
        <f t="shared" ref="C9:C18" ca="1" si="1">RANDBETWEEN(30,500)</f>
        <v>373</v>
      </c>
      <c r="D9">
        <f t="shared" ref="D9:H18" ca="1" si="2">RANDBETWEEN(30,500)</f>
        <v>241</v>
      </c>
      <c r="E9">
        <f t="shared" ca="1" si="2"/>
        <v>329</v>
      </c>
      <c r="F9">
        <f t="shared" ca="1" si="2"/>
        <v>57</v>
      </c>
      <c r="G9">
        <f t="shared" ca="1" si="2"/>
        <v>395</v>
      </c>
      <c r="H9" s="14">
        <f t="shared" ca="1" si="2"/>
        <v>492</v>
      </c>
      <c r="J9" s="13">
        <v>282</v>
      </c>
      <c r="K9">
        <v>280</v>
      </c>
      <c r="L9">
        <v>80</v>
      </c>
      <c r="M9">
        <v>259</v>
      </c>
      <c r="N9">
        <v>68</v>
      </c>
      <c r="O9" s="14">
        <v>271</v>
      </c>
      <c r="R9" s="8" t="s">
        <v>32</v>
      </c>
    </row>
    <row r="10" spans="3:18">
      <c r="C10" s="13">
        <f t="shared" ca="1" si="1"/>
        <v>304</v>
      </c>
      <c r="D10">
        <f t="shared" ca="1" si="2"/>
        <v>290</v>
      </c>
      <c r="E10">
        <f t="shared" ca="1" si="2"/>
        <v>366</v>
      </c>
      <c r="F10">
        <f t="shared" ca="1" si="2"/>
        <v>32</v>
      </c>
      <c r="G10">
        <f t="shared" ca="1" si="2"/>
        <v>315</v>
      </c>
      <c r="H10" s="14">
        <f t="shared" ca="1" si="2"/>
        <v>131</v>
      </c>
      <c r="J10" s="13">
        <v>339</v>
      </c>
      <c r="K10">
        <v>171</v>
      </c>
      <c r="L10">
        <v>51</v>
      </c>
      <c r="M10">
        <v>380</v>
      </c>
      <c r="N10">
        <v>122</v>
      </c>
      <c r="O10" s="14">
        <v>494</v>
      </c>
      <c r="R10" s="8" t="s">
        <v>33</v>
      </c>
    </row>
    <row r="11" spans="3:18">
      <c r="C11" s="13">
        <f t="shared" ca="1" si="1"/>
        <v>318</v>
      </c>
      <c r="D11">
        <f t="shared" ca="1" si="2"/>
        <v>320</v>
      </c>
      <c r="E11">
        <f t="shared" ca="1" si="2"/>
        <v>440</v>
      </c>
      <c r="F11">
        <f t="shared" ca="1" si="2"/>
        <v>428</v>
      </c>
      <c r="G11">
        <f t="shared" ca="1" si="2"/>
        <v>49</v>
      </c>
      <c r="H11" s="14">
        <f t="shared" ca="1" si="2"/>
        <v>447</v>
      </c>
      <c r="J11" s="13">
        <v>307</v>
      </c>
      <c r="K11">
        <v>76</v>
      </c>
      <c r="L11">
        <v>144</v>
      </c>
      <c r="M11">
        <v>44</v>
      </c>
      <c r="N11">
        <v>440</v>
      </c>
      <c r="O11" s="14">
        <v>429</v>
      </c>
      <c r="R11" s="8"/>
    </row>
    <row r="12" spans="3:18">
      <c r="C12" s="13">
        <f t="shared" ca="1" si="1"/>
        <v>276</v>
      </c>
      <c r="D12">
        <f t="shared" ca="1" si="2"/>
        <v>381</v>
      </c>
      <c r="E12">
        <f t="shared" ca="1" si="2"/>
        <v>331</v>
      </c>
      <c r="F12">
        <f t="shared" ca="1" si="2"/>
        <v>160</v>
      </c>
      <c r="G12">
        <f t="shared" ca="1" si="2"/>
        <v>374</v>
      </c>
      <c r="H12" s="14">
        <f t="shared" ca="1" si="2"/>
        <v>345</v>
      </c>
      <c r="J12" s="13">
        <v>454</v>
      </c>
      <c r="K12">
        <v>47</v>
      </c>
      <c r="L12">
        <v>163</v>
      </c>
      <c r="M12">
        <v>82</v>
      </c>
      <c r="N12">
        <v>325</v>
      </c>
      <c r="O12" s="14">
        <v>96</v>
      </c>
      <c r="R12" s="8" t="s">
        <v>34</v>
      </c>
    </row>
    <row r="13" spans="3:18">
      <c r="C13" s="13">
        <f t="shared" ca="1" si="1"/>
        <v>394</v>
      </c>
      <c r="D13">
        <f t="shared" ca="1" si="2"/>
        <v>421</v>
      </c>
      <c r="E13">
        <f t="shared" ca="1" si="2"/>
        <v>386</v>
      </c>
      <c r="F13">
        <f t="shared" ca="1" si="2"/>
        <v>415</v>
      </c>
      <c r="G13">
        <f t="shared" ca="1" si="2"/>
        <v>213</v>
      </c>
      <c r="H13" s="14">
        <f t="shared" ca="1" si="2"/>
        <v>257</v>
      </c>
      <c r="J13" s="13">
        <v>228</v>
      </c>
      <c r="K13">
        <v>77</v>
      </c>
      <c r="L13">
        <v>398</v>
      </c>
      <c r="M13">
        <v>244</v>
      </c>
      <c r="N13">
        <v>123</v>
      </c>
      <c r="O13" s="14">
        <v>38</v>
      </c>
      <c r="R13" s="8" t="s">
        <v>36</v>
      </c>
    </row>
    <row r="14" spans="3:18">
      <c r="C14" s="13">
        <f t="shared" ca="1" si="1"/>
        <v>119</v>
      </c>
      <c r="D14">
        <f t="shared" ca="1" si="2"/>
        <v>473</v>
      </c>
      <c r="E14">
        <f t="shared" ca="1" si="2"/>
        <v>423</v>
      </c>
      <c r="F14">
        <f t="shared" ca="1" si="2"/>
        <v>236</v>
      </c>
      <c r="G14">
        <f t="shared" ca="1" si="2"/>
        <v>83</v>
      </c>
      <c r="H14" s="14">
        <f t="shared" ca="1" si="2"/>
        <v>392</v>
      </c>
      <c r="J14" s="13">
        <v>72</v>
      </c>
      <c r="K14">
        <v>107</v>
      </c>
      <c r="L14">
        <v>238</v>
      </c>
      <c r="M14">
        <v>237</v>
      </c>
      <c r="N14">
        <v>160</v>
      </c>
      <c r="O14" s="14">
        <v>334</v>
      </c>
      <c r="R14" s="8"/>
    </row>
    <row r="15" spans="3:18">
      <c r="C15" s="13">
        <f t="shared" ca="1" si="1"/>
        <v>54</v>
      </c>
      <c r="D15">
        <f t="shared" ca="1" si="2"/>
        <v>293</v>
      </c>
      <c r="E15">
        <f t="shared" ca="1" si="2"/>
        <v>343</v>
      </c>
      <c r="F15">
        <f t="shared" ca="1" si="2"/>
        <v>79</v>
      </c>
      <c r="G15">
        <f t="shared" ca="1" si="2"/>
        <v>351</v>
      </c>
      <c r="H15" s="14">
        <f t="shared" ca="1" si="2"/>
        <v>328</v>
      </c>
      <c r="J15" s="13">
        <v>116</v>
      </c>
      <c r="K15">
        <v>196</v>
      </c>
      <c r="L15">
        <v>91</v>
      </c>
      <c r="M15">
        <v>266</v>
      </c>
      <c r="N15">
        <v>257</v>
      </c>
      <c r="O15" s="14">
        <v>217</v>
      </c>
      <c r="R15" s="8" t="s">
        <v>37</v>
      </c>
    </row>
    <row r="16" spans="3:18">
      <c r="C16" s="13">
        <f t="shared" ca="1" si="1"/>
        <v>47</v>
      </c>
      <c r="D16">
        <f t="shared" ca="1" si="2"/>
        <v>32</v>
      </c>
      <c r="E16">
        <f t="shared" ca="1" si="2"/>
        <v>302</v>
      </c>
      <c r="F16">
        <f t="shared" ca="1" si="2"/>
        <v>264</v>
      </c>
      <c r="G16">
        <f t="shared" ca="1" si="2"/>
        <v>97</v>
      </c>
      <c r="H16" s="14">
        <f t="shared" ca="1" si="2"/>
        <v>77</v>
      </c>
      <c r="J16" s="13">
        <v>120</v>
      </c>
      <c r="K16">
        <v>275</v>
      </c>
      <c r="L16">
        <v>150</v>
      </c>
      <c r="M16">
        <v>377</v>
      </c>
      <c r="N16">
        <v>349</v>
      </c>
      <c r="O16" s="14">
        <v>370</v>
      </c>
      <c r="R16" s="8" t="s">
        <v>41</v>
      </c>
    </row>
    <row r="17" spans="3:18">
      <c r="C17" s="13">
        <f t="shared" ca="1" si="1"/>
        <v>201</v>
      </c>
      <c r="D17">
        <f t="shared" ca="1" si="2"/>
        <v>116</v>
      </c>
      <c r="E17">
        <f t="shared" ca="1" si="2"/>
        <v>380</v>
      </c>
      <c r="F17">
        <f t="shared" ca="1" si="2"/>
        <v>480</v>
      </c>
      <c r="G17">
        <f t="shared" ca="1" si="2"/>
        <v>329</v>
      </c>
      <c r="H17" s="14">
        <f t="shared" ca="1" si="2"/>
        <v>390</v>
      </c>
      <c r="J17" s="13">
        <v>233</v>
      </c>
      <c r="K17">
        <v>350</v>
      </c>
      <c r="L17">
        <v>357</v>
      </c>
      <c r="M17">
        <v>292</v>
      </c>
      <c r="N17">
        <v>265</v>
      </c>
      <c r="O17" s="14">
        <v>123</v>
      </c>
      <c r="R17" s="8" t="s">
        <v>42</v>
      </c>
    </row>
    <row r="18" spans="3:18">
      <c r="C18" s="15">
        <f t="shared" ca="1" si="1"/>
        <v>493</v>
      </c>
      <c r="D18" s="16">
        <f t="shared" ca="1" si="2"/>
        <v>32</v>
      </c>
      <c r="E18" s="16">
        <f t="shared" ca="1" si="2"/>
        <v>467</v>
      </c>
      <c r="F18" s="16">
        <f t="shared" ca="1" si="2"/>
        <v>210</v>
      </c>
      <c r="G18" s="16">
        <f t="shared" ca="1" si="2"/>
        <v>122</v>
      </c>
      <c r="H18" s="17">
        <f ca="1">RANDBETWEEN(30,500)</f>
        <v>127</v>
      </c>
      <c r="J18" s="15">
        <v>47</v>
      </c>
      <c r="K18" s="16">
        <v>217</v>
      </c>
      <c r="L18" s="16">
        <v>448</v>
      </c>
      <c r="M18" s="16">
        <v>184</v>
      </c>
      <c r="N18" s="16">
        <v>99</v>
      </c>
      <c r="O18" s="17">
        <v>498</v>
      </c>
      <c r="R18" s="8"/>
    </row>
    <row r="19" spans="3:18">
      <c r="R19" s="8" t="s">
        <v>46</v>
      </c>
    </row>
    <row r="20" spans="3:18">
      <c r="R20" s="8" t="s">
        <v>49</v>
      </c>
    </row>
    <row r="21" spans="3:18">
      <c r="R21" s="8"/>
    </row>
    <row r="22" spans="3:18">
      <c r="H22" s="506" t="s">
        <v>39</v>
      </c>
      <c r="I22" s="506"/>
      <c r="J22" s="506"/>
      <c r="K22" s="506"/>
      <c r="R22" s="8" t="s">
        <v>2151</v>
      </c>
    </row>
    <row r="23" spans="3:18">
      <c r="R23" s="8" t="s">
        <v>2152</v>
      </c>
    </row>
    <row r="24" spans="3:18">
      <c r="G24" s="10">
        <v>249</v>
      </c>
      <c r="H24" s="11">
        <v>171</v>
      </c>
      <c r="I24" s="11">
        <v>458</v>
      </c>
      <c r="J24" s="11">
        <v>150</v>
      </c>
      <c r="K24" s="11">
        <v>303</v>
      </c>
      <c r="L24" s="12">
        <v>308</v>
      </c>
      <c r="R24" s="8"/>
    </row>
    <row r="25" spans="3:18">
      <c r="G25" s="13">
        <v>282</v>
      </c>
      <c r="H25">
        <v>280</v>
      </c>
      <c r="I25">
        <v>80</v>
      </c>
      <c r="J25">
        <v>259</v>
      </c>
      <c r="K25">
        <v>68</v>
      </c>
      <c r="L25" s="14">
        <v>271</v>
      </c>
      <c r="R25" s="8" t="s">
        <v>2153</v>
      </c>
    </row>
    <row r="26" spans="3:18">
      <c r="G26" s="13">
        <v>339</v>
      </c>
      <c r="H26">
        <v>171</v>
      </c>
      <c r="I26">
        <v>51</v>
      </c>
      <c r="J26">
        <v>380</v>
      </c>
      <c r="K26">
        <v>122</v>
      </c>
      <c r="L26" s="14">
        <v>494</v>
      </c>
      <c r="R26" s="20" t="s">
        <v>2154</v>
      </c>
    </row>
    <row r="27" spans="3:18">
      <c r="G27" s="13">
        <v>307</v>
      </c>
      <c r="H27">
        <v>76</v>
      </c>
      <c r="I27">
        <v>144</v>
      </c>
      <c r="J27">
        <v>44</v>
      </c>
      <c r="K27">
        <v>440</v>
      </c>
      <c r="L27" s="14">
        <v>429</v>
      </c>
      <c r="R27" s="8" t="s">
        <v>2155</v>
      </c>
    </row>
    <row r="28" spans="3:18">
      <c r="G28" s="13">
        <v>454</v>
      </c>
      <c r="H28">
        <v>47</v>
      </c>
      <c r="I28">
        <v>163</v>
      </c>
      <c r="J28">
        <v>82</v>
      </c>
      <c r="K28">
        <v>325</v>
      </c>
      <c r="L28" s="14">
        <v>96</v>
      </c>
      <c r="R28" s="8"/>
    </row>
    <row r="29" spans="3:18">
      <c r="G29" s="13">
        <v>228</v>
      </c>
      <c r="H29">
        <v>77</v>
      </c>
      <c r="I29">
        <v>398</v>
      </c>
      <c r="J29">
        <v>244</v>
      </c>
      <c r="K29">
        <v>123</v>
      </c>
      <c r="L29" s="14">
        <v>38</v>
      </c>
      <c r="R29" s="8"/>
    </row>
    <row r="30" spans="3:18">
      <c r="G30" s="13">
        <v>72</v>
      </c>
      <c r="H30" s="22" t="s">
        <v>40</v>
      </c>
      <c r="I30">
        <v>238</v>
      </c>
      <c r="J30">
        <v>237</v>
      </c>
      <c r="K30" s="22" t="s">
        <v>40</v>
      </c>
      <c r="L30" s="14">
        <v>334</v>
      </c>
      <c r="R30" s="8"/>
    </row>
    <row r="31" spans="3:18">
      <c r="G31" s="13">
        <v>116</v>
      </c>
      <c r="H31">
        <v>196</v>
      </c>
      <c r="I31">
        <v>91</v>
      </c>
      <c r="J31">
        <v>266</v>
      </c>
      <c r="K31">
        <v>257</v>
      </c>
      <c r="L31" s="14">
        <v>217</v>
      </c>
      <c r="R31" s="8"/>
    </row>
    <row r="32" spans="3:18">
      <c r="G32" s="13">
        <v>120</v>
      </c>
      <c r="H32">
        <v>275</v>
      </c>
      <c r="I32">
        <v>150</v>
      </c>
      <c r="J32">
        <v>377</v>
      </c>
      <c r="K32">
        <v>349</v>
      </c>
      <c r="L32" s="14">
        <v>370</v>
      </c>
      <c r="R32" s="8"/>
    </row>
    <row r="33" spans="2:18">
      <c r="G33" s="13">
        <v>233</v>
      </c>
      <c r="H33" s="22" t="s">
        <v>40</v>
      </c>
      <c r="I33">
        <v>357</v>
      </c>
      <c r="J33">
        <v>292</v>
      </c>
      <c r="K33" s="22" t="s">
        <v>40</v>
      </c>
      <c r="L33" s="14">
        <v>123</v>
      </c>
      <c r="R33" s="8"/>
    </row>
    <row r="34" spans="2:18">
      <c r="G34" s="15">
        <v>47</v>
      </c>
      <c r="H34" s="16">
        <v>217</v>
      </c>
      <c r="I34" s="16">
        <v>448</v>
      </c>
      <c r="J34" s="16">
        <v>184</v>
      </c>
      <c r="K34" s="16">
        <v>99</v>
      </c>
      <c r="L34" s="17">
        <v>498</v>
      </c>
      <c r="R34" s="8"/>
    </row>
    <row r="35" spans="2:18">
      <c r="R35" s="8"/>
    </row>
    <row r="36" spans="2:18">
      <c r="R36" s="8"/>
    </row>
    <row r="37" spans="2:18">
      <c r="R37" s="8"/>
    </row>
    <row r="38" spans="2:18">
      <c r="R38" s="8"/>
    </row>
    <row r="39" spans="2:18">
      <c r="H39" s="507" t="s">
        <v>45</v>
      </c>
      <c r="I39" s="508"/>
      <c r="J39" s="508"/>
      <c r="K39" s="509"/>
      <c r="R39" s="8"/>
    </row>
    <row r="40" spans="2:18">
      <c r="H40" s="6"/>
      <c r="I40" s="6"/>
      <c r="J40" s="6"/>
      <c r="K40" s="6"/>
      <c r="R40" s="8"/>
    </row>
    <row r="41" spans="2:18">
      <c r="D41" s="505" t="s">
        <v>47</v>
      </c>
      <c r="E41" s="505"/>
      <c r="H41" s="6"/>
      <c r="I41" s="6"/>
      <c r="J41" s="6"/>
      <c r="K41" s="6"/>
      <c r="R41" s="8"/>
    </row>
    <row r="42" spans="2:18">
      <c r="R42" s="8"/>
    </row>
    <row r="43" spans="2:18" ht="20.100000000000001" customHeight="1">
      <c r="B43" s="10">
        <v>249</v>
      </c>
      <c r="C43" s="11">
        <v>171</v>
      </c>
      <c r="D43" s="11">
        <v>458</v>
      </c>
      <c r="E43" s="11">
        <v>150</v>
      </c>
      <c r="F43" s="11">
        <v>303</v>
      </c>
      <c r="G43" s="12">
        <v>308</v>
      </c>
      <c r="R43" s="8"/>
    </row>
    <row r="44" spans="2:18" ht="20.100000000000001" customHeight="1">
      <c r="B44" s="13">
        <v>282</v>
      </c>
      <c r="C44">
        <v>280</v>
      </c>
      <c r="D44">
        <v>80</v>
      </c>
      <c r="E44">
        <v>259</v>
      </c>
      <c r="F44">
        <v>68</v>
      </c>
      <c r="G44" s="14">
        <v>271</v>
      </c>
      <c r="R44" s="8"/>
    </row>
    <row r="45" spans="2:18" ht="20.100000000000001" customHeight="1">
      <c r="B45" s="13">
        <v>339</v>
      </c>
      <c r="C45">
        <v>171</v>
      </c>
      <c r="D45">
        <v>51</v>
      </c>
      <c r="E45">
        <v>380</v>
      </c>
      <c r="F45">
        <v>122</v>
      </c>
      <c r="G45" s="14">
        <v>494</v>
      </c>
      <c r="R45" s="8"/>
    </row>
    <row r="46" spans="2:18" ht="20.100000000000001" customHeight="1">
      <c r="B46" s="13">
        <v>307</v>
      </c>
      <c r="C46">
        <v>76</v>
      </c>
      <c r="D46">
        <v>144</v>
      </c>
      <c r="E46">
        <v>44</v>
      </c>
      <c r="F46">
        <v>440</v>
      </c>
      <c r="G46" s="14">
        <v>429</v>
      </c>
      <c r="R46" s="8"/>
    </row>
    <row r="47" spans="2:18" ht="20.100000000000001" customHeight="1">
      <c r="B47" s="13">
        <v>454</v>
      </c>
      <c r="C47">
        <v>47</v>
      </c>
      <c r="D47">
        <v>163</v>
      </c>
      <c r="E47">
        <v>82</v>
      </c>
      <c r="F47">
        <v>325</v>
      </c>
      <c r="G47" s="14">
        <v>96</v>
      </c>
      <c r="R47" s="8"/>
    </row>
    <row r="48" spans="2:18" ht="20.100000000000001" customHeight="1">
      <c r="B48" s="13">
        <v>228</v>
      </c>
      <c r="C48">
        <v>77</v>
      </c>
      <c r="D48">
        <v>398</v>
      </c>
      <c r="E48">
        <v>244</v>
      </c>
      <c r="F48">
        <v>123</v>
      </c>
      <c r="G48" s="14">
        <v>38</v>
      </c>
      <c r="R48" s="8"/>
    </row>
    <row r="49" spans="2:12" ht="20.100000000000001" customHeight="1">
      <c r="B49" s="13">
        <v>72</v>
      </c>
      <c r="C49" s="22" t="s">
        <v>40</v>
      </c>
      <c r="D49">
        <v>238</v>
      </c>
      <c r="E49">
        <v>237</v>
      </c>
      <c r="F49" s="22" t="s">
        <v>40</v>
      </c>
      <c r="G49" s="14">
        <v>334</v>
      </c>
    </row>
    <row r="50" spans="2:12" ht="20.100000000000001" customHeight="1">
      <c r="B50" s="13">
        <v>116</v>
      </c>
      <c r="C50">
        <v>196</v>
      </c>
      <c r="D50">
        <v>91</v>
      </c>
      <c r="E50">
        <v>266</v>
      </c>
      <c r="F50">
        <v>257</v>
      </c>
      <c r="G50" s="14">
        <v>217</v>
      </c>
    </row>
    <row r="51" spans="2:12" ht="20.100000000000001" customHeight="1">
      <c r="B51" s="13">
        <v>120</v>
      </c>
      <c r="C51">
        <v>275</v>
      </c>
      <c r="D51">
        <v>150</v>
      </c>
      <c r="E51">
        <v>377</v>
      </c>
      <c r="F51">
        <v>349</v>
      </c>
      <c r="G51" s="14">
        <v>370</v>
      </c>
    </row>
    <row r="52" spans="2:12" ht="20.100000000000001" customHeight="1">
      <c r="B52" s="13">
        <v>233</v>
      </c>
      <c r="C52" s="22" t="s">
        <v>40</v>
      </c>
      <c r="D52">
        <v>357</v>
      </c>
      <c r="E52">
        <v>292</v>
      </c>
      <c r="F52" s="22" t="s">
        <v>40</v>
      </c>
      <c r="G52" s="14">
        <v>123</v>
      </c>
    </row>
    <row r="53" spans="2:12" ht="20.100000000000001" customHeight="1">
      <c r="B53" s="15">
        <v>47</v>
      </c>
      <c r="C53" s="16">
        <v>217</v>
      </c>
      <c r="D53" s="16">
        <v>448</v>
      </c>
      <c r="E53" s="16">
        <v>184</v>
      </c>
      <c r="F53" s="16">
        <v>99</v>
      </c>
      <c r="G53" s="17">
        <v>498</v>
      </c>
    </row>
    <row r="54" spans="2:12" ht="20.100000000000001" customHeight="1">
      <c r="B54" s="2"/>
      <c r="C54" s="2"/>
    </row>
    <row r="55" spans="2:12" ht="20.100000000000001" customHeight="1">
      <c r="B55" s="2"/>
      <c r="C55" s="2"/>
    </row>
    <row r="56" spans="2:12" ht="20.100000000000001" customHeight="1">
      <c r="B56" s="2"/>
      <c r="C56" s="2"/>
      <c r="F56" s="498" t="s">
        <v>48</v>
      </c>
      <c r="G56" s="498"/>
      <c r="H56" s="498"/>
    </row>
    <row r="57" spans="2:12" ht="20.100000000000001" customHeight="1">
      <c r="B57" s="2"/>
      <c r="C57" s="2"/>
    </row>
    <row r="58" spans="2:12" ht="20.100000000000001" customHeight="1">
      <c r="B58" s="10">
        <v>249</v>
      </c>
      <c r="C58" s="11">
        <v>282</v>
      </c>
      <c r="D58" s="11">
        <v>339</v>
      </c>
      <c r="E58" s="11">
        <v>307</v>
      </c>
      <c r="F58" s="11">
        <v>454</v>
      </c>
      <c r="G58" s="11">
        <v>228</v>
      </c>
      <c r="H58" s="11">
        <v>72</v>
      </c>
      <c r="I58" s="11">
        <v>116</v>
      </c>
      <c r="J58" s="11">
        <v>120</v>
      </c>
      <c r="K58" s="11">
        <v>233</v>
      </c>
      <c r="L58" s="12">
        <v>47</v>
      </c>
    </row>
    <row r="59" spans="2:12" ht="20.100000000000001" customHeight="1">
      <c r="B59" s="13">
        <v>171</v>
      </c>
      <c r="C59">
        <v>280</v>
      </c>
      <c r="D59">
        <v>171</v>
      </c>
      <c r="E59">
        <v>76</v>
      </c>
      <c r="F59">
        <v>47</v>
      </c>
      <c r="G59">
        <v>77</v>
      </c>
      <c r="H59" s="22" t="s">
        <v>40</v>
      </c>
      <c r="I59">
        <v>196</v>
      </c>
      <c r="J59">
        <v>275</v>
      </c>
      <c r="K59" s="22" t="s">
        <v>40</v>
      </c>
      <c r="L59" s="14">
        <v>217</v>
      </c>
    </row>
    <row r="60" spans="2:12" ht="20.100000000000001" customHeight="1">
      <c r="B60" s="13">
        <v>458</v>
      </c>
      <c r="C60">
        <v>80</v>
      </c>
      <c r="D60">
        <v>51</v>
      </c>
      <c r="E60">
        <v>144</v>
      </c>
      <c r="F60">
        <v>163</v>
      </c>
      <c r="G60">
        <v>398</v>
      </c>
      <c r="H60">
        <v>238</v>
      </c>
      <c r="I60">
        <v>91</v>
      </c>
      <c r="J60">
        <v>150</v>
      </c>
      <c r="K60">
        <v>357</v>
      </c>
      <c r="L60" s="14">
        <v>448</v>
      </c>
    </row>
    <row r="61" spans="2:12" ht="20.100000000000001" customHeight="1">
      <c r="B61" s="13">
        <v>150</v>
      </c>
      <c r="C61">
        <v>259</v>
      </c>
      <c r="D61">
        <v>380</v>
      </c>
      <c r="E61">
        <v>44</v>
      </c>
      <c r="F61">
        <v>82</v>
      </c>
      <c r="G61">
        <v>244</v>
      </c>
      <c r="H61">
        <v>237</v>
      </c>
      <c r="I61">
        <v>266</v>
      </c>
      <c r="J61">
        <v>377</v>
      </c>
      <c r="K61">
        <v>292</v>
      </c>
      <c r="L61" s="14">
        <v>184</v>
      </c>
    </row>
    <row r="62" spans="2:12" ht="20.100000000000001" customHeight="1">
      <c r="B62" s="13">
        <v>303</v>
      </c>
      <c r="C62">
        <v>68</v>
      </c>
      <c r="D62">
        <v>122</v>
      </c>
      <c r="E62">
        <v>440</v>
      </c>
      <c r="F62">
        <v>325</v>
      </c>
      <c r="G62">
        <v>123</v>
      </c>
      <c r="H62" s="22" t="s">
        <v>40</v>
      </c>
      <c r="I62">
        <v>257</v>
      </c>
      <c r="J62">
        <v>349</v>
      </c>
      <c r="K62" s="22" t="s">
        <v>40</v>
      </c>
      <c r="L62" s="14">
        <v>99</v>
      </c>
    </row>
    <row r="63" spans="2:12" ht="20.100000000000001" customHeight="1">
      <c r="B63" s="15">
        <v>308</v>
      </c>
      <c r="C63" s="16">
        <v>271</v>
      </c>
      <c r="D63" s="16">
        <v>494</v>
      </c>
      <c r="E63" s="16">
        <v>429</v>
      </c>
      <c r="F63" s="16">
        <v>96</v>
      </c>
      <c r="G63" s="16">
        <v>38</v>
      </c>
      <c r="H63" s="16">
        <v>334</v>
      </c>
      <c r="I63" s="16">
        <v>217</v>
      </c>
      <c r="J63" s="16">
        <v>370</v>
      </c>
      <c r="K63" s="16">
        <v>123</v>
      </c>
      <c r="L63" s="17">
        <v>498</v>
      </c>
    </row>
  </sheetData>
  <mergeCells count="8">
    <mergeCell ref="G2:L2"/>
    <mergeCell ref="F56:H56"/>
    <mergeCell ref="D41:E41"/>
    <mergeCell ref="H22:K22"/>
    <mergeCell ref="H39:K39"/>
    <mergeCell ref="D6:G6"/>
    <mergeCell ref="K6:N6"/>
    <mergeCell ref="G4:L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00CD4-F2B2-42F1-8798-8978CD8FD6F7}">
  <sheetPr codeName="Sheet1"/>
  <dimension ref="C1:N297"/>
  <sheetViews>
    <sheetView topLeftCell="D1" zoomScaleNormal="100" workbookViewId="0">
      <selection activeCell="C2" sqref="C2:H2"/>
    </sheetView>
  </sheetViews>
  <sheetFormatPr defaultRowHeight="15"/>
  <cols>
    <col min="3" max="14" width="25.7109375" customWidth="1"/>
  </cols>
  <sheetData>
    <row r="1" spans="3:10" ht="15.75" thickBot="1"/>
    <row r="2" spans="3:10" ht="29.25" thickBot="1">
      <c r="C2" s="484" t="s">
        <v>35</v>
      </c>
      <c r="D2" s="485"/>
      <c r="E2" s="485"/>
      <c r="F2" s="485"/>
      <c r="G2" s="485"/>
      <c r="H2" s="486"/>
    </row>
    <row r="4" spans="3:10" ht="28.5">
      <c r="D4" s="513" t="s">
        <v>797</v>
      </c>
      <c r="E4" s="513"/>
      <c r="F4" s="513"/>
      <c r="G4" s="513"/>
    </row>
    <row r="6" spans="3:10" ht="15.75" thickBot="1"/>
    <row r="7" spans="3:10" ht="16.5" thickTop="1" thickBot="1">
      <c r="C7" s="268" t="s">
        <v>414</v>
      </c>
      <c r="D7" s="268" t="s">
        <v>775</v>
      </c>
      <c r="E7" s="268" t="s">
        <v>776</v>
      </c>
      <c r="F7" s="268" t="s">
        <v>777</v>
      </c>
      <c r="G7" s="268" t="s">
        <v>778</v>
      </c>
      <c r="H7" s="268" t="s">
        <v>779</v>
      </c>
    </row>
    <row r="8" spans="3:10" ht="27" thickTop="1">
      <c r="C8" s="266" t="s">
        <v>780</v>
      </c>
      <c r="D8" s="266" t="s">
        <v>781</v>
      </c>
      <c r="E8" s="266" t="s">
        <v>782</v>
      </c>
      <c r="F8" s="267">
        <v>120</v>
      </c>
      <c r="G8" s="267">
        <v>135</v>
      </c>
      <c r="H8" s="271">
        <f>G8-F8</f>
        <v>15</v>
      </c>
      <c r="J8" s="270" t="str">
        <f ca="1">_xlfn.FORMULATEXT(H8)</f>
        <v>=G8-F8</v>
      </c>
    </row>
    <row r="9" spans="3:10" ht="16.5">
      <c r="C9" s="266" t="s">
        <v>783</v>
      </c>
      <c r="D9" s="266" t="s">
        <v>781</v>
      </c>
      <c r="E9" s="266" t="s">
        <v>782</v>
      </c>
      <c r="F9" s="267">
        <v>125</v>
      </c>
      <c r="G9" s="267">
        <v>135</v>
      </c>
      <c r="H9" s="269">
        <f t="shared" ref="H9:H72" si="0">G9-F9</f>
        <v>10</v>
      </c>
    </row>
    <row r="10" spans="3:10" ht="16.5">
      <c r="C10" s="266" t="s">
        <v>784</v>
      </c>
      <c r="D10" s="266" t="s">
        <v>781</v>
      </c>
      <c r="E10" s="266" t="s">
        <v>782</v>
      </c>
      <c r="F10" s="267">
        <v>120</v>
      </c>
      <c r="G10" s="267">
        <v>135</v>
      </c>
      <c r="H10" s="269">
        <f t="shared" si="0"/>
        <v>15</v>
      </c>
    </row>
    <row r="11" spans="3:10" ht="16.5">
      <c r="C11" s="266" t="s">
        <v>785</v>
      </c>
      <c r="D11" s="266" t="s">
        <v>786</v>
      </c>
      <c r="E11" s="266" t="s">
        <v>787</v>
      </c>
      <c r="F11" s="267">
        <v>80</v>
      </c>
      <c r="G11" s="267">
        <v>155</v>
      </c>
      <c r="H11" s="269">
        <f t="shared" si="0"/>
        <v>75</v>
      </c>
    </row>
    <row r="12" spans="3:10" ht="16.5">
      <c r="C12" s="266" t="s">
        <v>788</v>
      </c>
      <c r="D12" s="266" t="s">
        <v>789</v>
      </c>
      <c r="E12" s="266" t="s">
        <v>787</v>
      </c>
      <c r="F12" s="267">
        <v>165</v>
      </c>
      <c r="G12" s="267">
        <v>100</v>
      </c>
      <c r="H12" s="269">
        <f t="shared" si="0"/>
        <v>-65</v>
      </c>
    </row>
    <row r="13" spans="3:10" ht="16.5">
      <c r="C13" s="266" t="s">
        <v>790</v>
      </c>
      <c r="D13" s="266" t="s">
        <v>791</v>
      </c>
      <c r="E13" s="266" t="s">
        <v>787</v>
      </c>
      <c r="F13" s="267">
        <v>180</v>
      </c>
      <c r="G13" s="267">
        <v>100</v>
      </c>
      <c r="H13" s="269">
        <f t="shared" si="0"/>
        <v>-80</v>
      </c>
    </row>
    <row r="14" spans="3:10" ht="16.5">
      <c r="C14" s="266" t="s">
        <v>792</v>
      </c>
      <c r="D14" s="266" t="s">
        <v>793</v>
      </c>
      <c r="E14" s="266" t="s">
        <v>787</v>
      </c>
      <c r="F14" s="267">
        <v>145</v>
      </c>
      <c r="G14" s="267">
        <v>115</v>
      </c>
      <c r="H14" s="269">
        <f t="shared" si="0"/>
        <v>-30</v>
      </c>
    </row>
    <row r="15" spans="3:10" ht="16.5">
      <c r="C15" s="266" t="s">
        <v>794</v>
      </c>
      <c r="D15" s="266" t="s">
        <v>789</v>
      </c>
      <c r="E15" s="266" t="s">
        <v>787</v>
      </c>
      <c r="F15" s="267">
        <v>75</v>
      </c>
      <c r="G15" s="267">
        <v>155</v>
      </c>
      <c r="H15" s="269">
        <f t="shared" si="0"/>
        <v>80</v>
      </c>
    </row>
    <row r="16" spans="3:10" ht="16.5">
      <c r="C16" s="266" t="s">
        <v>795</v>
      </c>
      <c r="D16" s="266" t="s">
        <v>786</v>
      </c>
      <c r="E16" s="266" t="s">
        <v>787</v>
      </c>
      <c r="F16" s="267">
        <v>80</v>
      </c>
      <c r="G16" s="267">
        <v>155</v>
      </c>
      <c r="H16" s="269">
        <f t="shared" si="0"/>
        <v>75</v>
      </c>
    </row>
    <row r="17" spans="3:8" ht="16.5">
      <c r="C17" s="266" t="s">
        <v>796</v>
      </c>
      <c r="D17" s="266" t="s">
        <v>791</v>
      </c>
      <c r="E17" s="266" t="s">
        <v>787</v>
      </c>
      <c r="F17" s="267">
        <v>160</v>
      </c>
      <c r="G17" s="267">
        <v>100</v>
      </c>
      <c r="H17" s="269">
        <f t="shared" si="0"/>
        <v>-60</v>
      </c>
    </row>
    <row r="18" spans="3:8" ht="16.5">
      <c r="C18" s="266" t="s">
        <v>780</v>
      </c>
      <c r="D18" s="266" t="s">
        <v>781</v>
      </c>
      <c r="E18" s="266" t="s">
        <v>782</v>
      </c>
      <c r="F18" s="267">
        <v>168</v>
      </c>
      <c r="G18" s="267">
        <v>100</v>
      </c>
      <c r="H18" s="269">
        <f t="shared" si="0"/>
        <v>-68</v>
      </c>
    </row>
    <row r="19" spans="3:8" ht="16.5">
      <c r="C19" s="266" t="s">
        <v>783</v>
      </c>
      <c r="D19" s="266" t="s">
        <v>781</v>
      </c>
      <c r="E19" s="266" t="s">
        <v>782</v>
      </c>
      <c r="F19" s="267">
        <v>90</v>
      </c>
      <c r="G19" s="267">
        <v>155</v>
      </c>
      <c r="H19" s="269">
        <f t="shared" si="0"/>
        <v>65</v>
      </c>
    </row>
    <row r="20" spans="3:8" ht="16.5">
      <c r="C20" s="266" t="s">
        <v>784</v>
      </c>
      <c r="D20" s="266" t="s">
        <v>781</v>
      </c>
      <c r="E20" s="266" t="s">
        <v>782</v>
      </c>
      <c r="F20" s="267">
        <v>120</v>
      </c>
      <c r="G20" s="267">
        <v>135</v>
      </c>
      <c r="H20" s="269">
        <f t="shared" si="0"/>
        <v>15</v>
      </c>
    </row>
    <row r="21" spans="3:8" ht="16.5">
      <c r="C21" s="266" t="s">
        <v>785</v>
      </c>
      <c r="D21" s="266" t="s">
        <v>786</v>
      </c>
      <c r="E21" s="266" t="s">
        <v>787</v>
      </c>
      <c r="F21" s="267">
        <v>80</v>
      </c>
      <c r="G21" s="267">
        <v>155</v>
      </c>
      <c r="H21" s="269">
        <f t="shared" si="0"/>
        <v>75</v>
      </c>
    </row>
    <row r="22" spans="3:8" ht="16.5">
      <c r="C22" s="266" t="s">
        <v>788</v>
      </c>
      <c r="D22" s="266" t="s">
        <v>789</v>
      </c>
      <c r="E22" s="266" t="s">
        <v>787</v>
      </c>
      <c r="F22" s="267">
        <v>165</v>
      </c>
      <c r="G22" s="267">
        <v>100</v>
      </c>
      <c r="H22" s="269">
        <f t="shared" si="0"/>
        <v>-65</v>
      </c>
    </row>
    <row r="23" spans="3:8" ht="16.5">
      <c r="C23" s="266" t="s">
        <v>790</v>
      </c>
      <c r="D23" s="266" t="s">
        <v>791</v>
      </c>
      <c r="E23" s="266" t="s">
        <v>787</v>
      </c>
      <c r="F23" s="267">
        <v>180</v>
      </c>
      <c r="G23" s="267">
        <v>100</v>
      </c>
      <c r="H23" s="269">
        <f t="shared" si="0"/>
        <v>-80</v>
      </c>
    </row>
    <row r="24" spans="3:8" ht="16.5">
      <c r="C24" s="266" t="s">
        <v>792</v>
      </c>
      <c r="D24" s="266" t="s">
        <v>793</v>
      </c>
      <c r="E24" s="266" t="s">
        <v>787</v>
      </c>
      <c r="F24" s="267">
        <v>145</v>
      </c>
      <c r="G24" s="267">
        <v>115</v>
      </c>
      <c r="H24" s="269">
        <f t="shared" si="0"/>
        <v>-30</v>
      </c>
    </row>
    <row r="25" spans="3:8" ht="16.5">
      <c r="C25" s="266" t="s">
        <v>794</v>
      </c>
      <c r="D25" s="266" t="s">
        <v>789</v>
      </c>
      <c r="E25" s="266" t="s">
        <v>787</v>
      </c>
      <c r="F25" s="267">
        <v>175</v>
      </c>
      <c r="G25" s="267">
        <v>100</v>
      </c>
      <c r="H25" s="269">
        <f t="shared" si="0"/>
        <v>-75</v>
      </c>
    </row>
    <row r="26" spans="3:8" ht="16.5">
      <c r="C26" s="266" t="s">
        <v>795</v>
      </c>
      <c r="D26" s="266" t="s">
        <v>786</v>
      </c>
      <c r="E26" s="266" t="s">
        <v>787</v>
      </c>
      <c r="F26" s="267">
        <v>80</v>
      </c>
      <c r="G26" s="267">
        <v>155</v>
      </c>
      <c r="H26" s="269">
        <f t="shared" si="0"/>
        <v>75</v>
      </c>
    </row>
    <row r="27" spans="3:8" ht="16.5">
      <c r="C27" s="266" t="s">
        <v>796</v>
      </c>
      <c r="D27" s="266" t="s">
        <v>791</v>
      </c>
      <c r="E27" s="266" t="s">
        <v>787</v>
      </c>
      <c r="F27" s="267">
        <v>160</v>
      </c>
      <c r="G27" s="267">
        <v>100</v>
      </c>
      <c r="H27" s="269">
        <f t="shared" si="0"/>
        <v>-60</v>
      </c>
    </row>
    <row r="28" spans="3:8" ht="16.5">
      <c r="C28" s="266" t="s">
        <v>780</v>
      </c>
      <c r="D28" s="266" t="s">
        <v>781</v>
      </c>
      <c r="E28" s="266" t="s">
        <v>782</v>
      </c>
      <c r="F28" s="267">
        <v>159</v>
      </c>
      <c r="G28" s="267">
        <v>115</v>
      </c>
      <c r="H28" s="269">
        <f t="shared" si="0"/>
        <v>-44</v>
      </c>
    </row>
    <row r="29" spans="3:8" ht="16.5">
      <c r="C29" s="266" t="s">
        <v>783</v>
      </c>
      <c r="D29" s="266" t="s">
        <v>781</v>
      </c>
      <c r="E29" s="266" t="s">
        <v>782</v>
      </c>
      <c r="F29" s="267">
        <v>168</v>
      </c>
      <c r="G29" s="267">
        <v>100</v>
      </c>
      <c r="H29" s="269">
        <f t="shared" si="0"/>
        <v>-68</v>
      </c>
    </row>
    <row r="30" spans="3:8" ht="16.5">
      <c r="C30" s="266" t="s">
        <v>784</v>
      </c>
      <c r="D30" s="266" t="s">
        <v>781</v>
      </c>
      <c r="E30" s="266" t="s">
        <v>782</v>
      </c>
      <c r="F30" s="267">
        <v>120</v>
      </c>
      <c r="G30" s="267">
        <v>135</v>
      </c>
      <c r="H30" s="269">
        <f t="shared" si="0"/>
        <v>15</v>
      </c>
    </row>
    <row r="31" spans="3:8" ht="16.5">
      <c r="C31" s="266" t="s">
        <v>785</v>
      </c>
      <c r="D31" s="266" t="s">
        <v>786</v>
      </c>
      <c r="E31" s="266" t="s">
        <v>787</v>
      </c>
      <c r="F31" s="267">
        <v>80</v>
      </c>
      <c r="G31" s="267">
        <v>155</v>
      </c>
      <c r="H31" s="269">
        <f t="shared" si="0"/>
        <v>75</v>
      </c>
    </row>
    <row r="32" spans="3:8" ht="16.5">
      <c r="C32" s="266" t="s">
        <v>788</v>
      </c>
      <c r="D32" s="266" t="s">
        <v>789</v>
      </c>
      <c r="E32" s="266" t="s">
        <v>787</v>
      </c>
      <c r="F32" s="267">
        <v>165</v>
      </c>
      <c r="G32" s="267">
        <v>100</v>
      </c>
      <c r="H32" s="269">
        <f t="shared" si="0"/>
        <v>-65</v>
      </c>
    </row>
    <row r="33" spans="3:8" ht="16.5">
      <c r="C33" s="266" t="s">
        <v>790</v>
      </c>
      <c r="D33" s="266" t="s">
        <v>791</v>
      </c>
      <c r="E33" s="266" t="s">
        <v>787</v>
      </c>
      <c r="F33" s="267">
        <v>180</v>
      </c>
      <c r="G33" s="267">
        <v>100</v>
      </c>
      <c r="H33" s="269">
        <f t="shared" si="0"/>
        <v>-80</v>
      </c>
    </row>
    <row r="34" spans="3:8" ht="16.5">
      <c r="C34" s="266" t="s">
        <v>792</v>
      </c>
      <c r="D34" s="266" t="s">
        <v>793</v>
      </c>
      <c r="E34" s="266" t="s">
        <v>787</v>
      </c>
      <c r="F34" s="267">
        <v>145</v>
      </c>
      <c r="G34" s="267">
        <v>115</v>
      </c>
      <c r="H34" s="269">
        <f t="shared" si="0"/>
        <v>-30</v>
      </c>
    </row>
    <row r="35" spans="3:8" ht="16.5">
      <c r="C35" s="266" t="s">
        <v>794</v>
      </c>
      <c r="D35" s="266" t="s">
        <v>789</v>
      </c>
      <c r="E35" s="266" t="s">
        <v>787</v>
      </c>
      <c r="F35" s="267">
        <v>75</v>
      </c>
      <c r="G35" s="267">
        <v>155</v>
      </c>
      <c r="H35" s="269">
        <f t="shared" si="0"/>
        <v>80</v>
      </c>
    </row>
    <row r="36" spans="3:8" ht="16.5">
      <c r="C36" s="266" t="s">
        <v>795</v>
      </c>
      <c r="D36" s="266" t="s">
        <v>786</v>
      </c>
      <c r="E36" s="266" t="s">
        <v>787</v>
      </c>
      <c r="F36" s="267">
        <v>80</v>
      </c>
      <c r="G36" s="267">
        <v>155</v>
      </c>
      <c r="H36" s="269">
        <f t="shared" si="0"/>
        <v>75</v>
      </c>
    </row>
    <row r="37" spans="3:8" ht="16.5">
      <c r="C37" s="266" t="s">
        <v>796</v>
      </c>
      <c r="D37" s="266" t="s">
        <v>791</v>
      </c>
      <c r="E37" s="266" t="s">
        <v>787</v>
      </c>
      <c r="F37" s="267">
        <v>160</v>
      </c>
      <c r="G37" s="267">
        <v>100</v>
      </c>
      <c r="H37" s="269">
        <f t="shared" si="0"/>
        <v>-60</v>
      </c>
    </row>
    <row r="38" spans="3:8" ht="16.5">
      <c r="C38" s="266" t="s">
        <v>780</v>
      </c>
      <c r="D38" s="266" t="s">
        <v>781</v>
      </c>
      <c r="E38" s="266" t="s">
        <v>782</v>
      </c>
      <c r="F38" s="267">
        <v>125</v>
      </c>
      <c r="G38" s="267">
        <v>135</v>
      </c>
      <c r="H38" s="269">
        <f t="shared" si="0"/>
        <v>10</v>
      </c>
    </row>
    <row r="39" spans="3:8" ht="16.5">
      <c r="C39" s="266" t="s">
        <v>783</v>
      </c>
      <c r="D39" s="266" t="s">
        <v>781</v>
      </c>
      <c r="E39" s="266" t="s">
        <v>782</v>
      </c>
      <c r="F39" s="267">
        <v>189</v>
      </c>
      <c r="G39" s="267">
        <v>100</v>
      </c>
      <c r="H39" s="269">
        <f t="shared" si="0"/>
        <v>-89</v>
      </c>
    </row>
    <row r="40" spans="3:8" ht="16.5">
      <c r="C40" s="266" t="s">
        <v>784</v>
      </c>
      <c r="D40" s="266" t="s">
        <v>781</v>
      </c>
      <c r="E40" s="266" t="s">
        <v>782</v>
      </c>
      <c r="F40" s="267">
        <v>120</v>
      </c>
      <c r="G40" s="267">
        <v>135</v>
      </c>
      <c r="H40" s="269">
        <f t="shared" si="0"/>
        <v>15</v>
      </c>
    </row>
    <row r="41" spans="3:8" ht="16.5">
      <c r="C41" s="266" t="s">
        <v>785</v>
      </c>
      <c r="D41" s="266" t="s">
        <v>786</v>
      </c>
      <c r="E41" s="266" t="s">
        <v>787</v>
      </c>
      <c r="F41" s="267">
        <v>80</v>
      </c>
      <c r="G41" s="267">
        <v>155</v>
      </c>
      <c r="H41" s="269">
        <f t="shared" si="0"/>
        <v>75</v>
      </c>
    </row>
    <row r="42" spans="3:8" ht="16.5">
      <c r="C42" s="266" t="s">
        <v>788</v>
      </c>
      <c r="D42" s="266" t="s">
        <v>789</v>
      </c>
      <c r="E42" s="266" t="s">
        <v>787</v>
      </c>
      <c r="F42" s="267">
        <v>165</v>
      </c>
      <c r="G42" s="267">
        <v>100</v>
      </c>
      <c r="H42" s="269">
        <f t="shared" si="0"/>
        <v>-65</v>
      </c>
    </row>
    <row r="43" spans="3:8" ht="16.5">
      <c r="C43" s="266" t="s">
        <v>790</v>
      </c>
      <c r="D43" s="266" t="s">
        <v>791</v>
      </c>
      <c r="E43" s="266" t="s">
        <v>787</v>
      </c>
      <c r="F43" s="267">
        <v>180</v>
      </c>
      <c r="G43" s="267">
        <v>100</v>
      </c>
      <c r="H43" s="269">
        <f t="shared" si="0"/>
        <v>-80</v>
      </c>
    </row>
    <row r="44" spans="3:8" ht="16.5">
      <c r="C44" s="266" t="s">
        <v>792</v>
      </c>
      <c r="D44" s="266" t="s">
        <v>793</v>
      </c>
      <c r="E44" s="266" t="s">
        <v>787</v>
      </c>
      <c r="F44" s="267">
        <v>145</v>
      </c>
      <c r="G44" s="267">
        <v>115</v>
      </c>
      <c r="H44" s="269">
        <f t="shared" si="0"/>
        <v>-30</v>
      </c>
    </row>
    <row r="45" spans="3:8" ht="17.25" thickBot="1">
      <c r="C45" s="266" t="s">
        <v>794</v>
      </c>
      <c r="D45" s="266" t="s">
        <v>789</v>
      </c>
      <c r="E45" s="266" t="s">
        <v>787</v>
      </c>
      <c r="F45" s="267">
        <v>159</v>
      </c>
      <c r="G45" s="267">
        <v>115</v>
      </c>
      <c r="H45" s="269">
        <f t="shared" si="0"/>
        <v>-44</v>
      </c>
    </row>
    <row r="46" spans="3:8" ht="16.5">
      <c r="C46" s="266" t="s">
        <v>795</v>
      </c>
      <c r="D46" s="266" t="s">
        <v>786</v>
      </c>
      <c r="E46" s="266" t="s">
        <v>787</v>
      </c>
      <c r="F46" s="267">
        <v>80</v>
      </c>
      <c r="G46" s="267">
        <v>155</v>
      </c>
      <c r="H46" s="269">
        <f t="shared" si="0"/>
        <v>75</v>
      </c>
    </row>
    <row r="47" spans="3:8" ht="16.5">
      <c r="C47" s="266" t="s">
        <v>796</v>
      </c>
      <c r="D47" s="266" t="s">
        <v>791</v>
      </c>
      <c r="E47" s="266" t="s">
        <v>787</v>
      </c>
      <c r="F47" s="267">
        <v>160</v>
      </c>
      <c r="G47" s="267">
        <v>100</v>
      </c>
      <c r="H47" s="269">
        <f t="shared" si="0"/>
        <v>-60</v>
      </c>
    </row>
    <row r="48" spans="3:8" ht="16.5">
      <c r="C48" s="266" t="s">
        <v>780</v>
      </c>
      <c r="D48" s="266" t="s">
        <v>781</v>
      </c>
      <c r="E48" s="266" t="s">
        <v>782</v>
      </c>
      <c r="F48" s="267">
        <v>180</v>
      </c>
      <c r="G48" s="267">
        <v>100</v>
      </c>
      <c r="H48" s="269">
        <f t="shared" si="0"/>
        <v>-80</v>
      </c>
    </row>
    <row r="49" spans="3:8" ht="16.5">
      <c r="C49" s="266" t="s">
        <v>783</v>
      </c>
      <c r="D49" s="266" t="s">
        <v>781</v>
      </c>
      <c r="E49" s="266" t="s">
        <v>782</v>
      </c>
      <c r="F49" s="267">
        <v>190</v>
      </c>
      <c r="G49" s="267">
        <v>75</v>
      </c>
      <c r="H49" s="269">
        <f t="shared" si="0"/>
        <v>-115</v>
      </c>
    </row>
    <row r="50" spans="3:8" ht="16.5">
      <c r="C50" s="266" t="s">
        <v>784</v>
      </c>
      <c r="D50" s="266" t="s">
        <v>781</v>
      </c>
      <c r="E50" s="266" t="s">
        <v>782</v>
      </c>
      <c r="F50" s="267">
        <v>120</v>
      </c>
      <c r="G50" s="267">
        <v>135</v>
      </c>
      <c r="H50" s="269">
        <f t="shared" si="0"/>
        <v>15</v>
      </c>
    </row>
    <row r="51" spans="3:8" ht="16.5">
      <c r="C51" s="266" t="s">
        <v>785</v>
      </c>
      <c r="D51" s="266" t="s">
        <v>786</v>
      </c>
      <c r="E51" s="266" t="s">
        <v>787</v>
      </c>
      <c r="F51" s="267">
        <v>80</v>
      </c>
      <c r="G51" s="267">
        <v>155</v>
      </c>
      <c r="H51" s="269">
        <f t="shared" si="0"/>
        <v>75</v>
      </c>
    </row>
    <row r="52" spans="3:8" ht="16.5">
      <c r="C52" s="266" t="s">
        <v>788</v>
      </c>
      <c r="D52" s="266" t="s">
        <v>789</v>
      </c>
      <c r="E52" s="266" t="s">
        <v>787</v>
      </c>
      <c r="F52" s="267">
        <v>165</v>
      </c>
      <c r="G52" s="267">
        <v>100</v>
      </c>
      <c r="H52" s="269">
        <f t="shared" si="0"/>
        <v>-65</v>
      </c>
    </row>
    <row r="53" spans="3:8" ht="16.5">
      <c r="C53" s="266" t="s">
        <v>790</v>
      </c>
      <c r="D53" s="266" t="s">
        <v>791</v>
      </c>
      <c r="E53" s="266" t="s">
        <v>787</v>
      </c>
      <c r="F53" s="267">
        <v>180</v>
      </c>
      <c r="G53" s="267">
        <v>100</v>
      </c>
      <c r="H53" s="269">
        <f t="shared" si="0"/>
        <v>-80</v>
      </c>
    </row>
    <row r="54" spans="3:8" ht="16.5">
      <c r="C54" s="266" t="s">
        <v>792</v>
      </c>
      <c r="D54" s="266" t="s">
        <v>793</v>
      </c>
      <c r="E54" s="266" t="s">
        <v>787</v>
      </c>
      <c r="F54" s="267">
        <v>145</v>
      </c>
      <c r="G54" s="267">
        <v>115</v>
      </c>
      <c r="H54" s="269">
        <f t="shared" si="0"/>
        <v>-30</v>
      </c>
    </row>
    <row r="55" spans="3:8" ht="16.5">
      <c r="C55" s="266" t="s">
        <v>794</v>
      </c>
      <c r="D55" s="266" t="s">
        <v>789</v>
      </c>
      <c r="E55" s="266" t="s">
        <v>787</v>
      </c>
      <c r="F55" s="267">
        <v>170</v>
      </c>
      <c r="G55" s="267">
        <v>100</v>
      </c>
      <c r="H55" s="269">
        <f t="shared" si="0"/>
        <v>-70</v>
      </c>
    </row>
    <row r="56" spans="3:8" ht="16.5">
      <c r="C56" s="266" t="s">
        <v>795</v>
      </c>
      <c r="D56" s="266" t="s">
        <v>786</v>
      </c>
      <c r="E56" s="266" t="s">
        <v>787</v>
      </c>
      <c r="F56" s="267">
        <v>80</v>
      </c>
      <c r="G56" s="267">
        <v>155</v>
      </c>
      <c r="H56" s="269">
        <f t="shared" si="0"/>
        <v>75</v>
      </c>
    </row>
    <row r="57" spans="3:8" ht="16.5">
      <c r="C57" s="266" t="s">
        <v>796</v>
      </c>
      <c r="D57" s="266" t="s">
        <v>791</v>
      </c>
      <c r="E57" s="266" t="s">
        <v>787</v>
      </c>
      <c r="F57" s="267">
        <v>160</v>
      </c>
      <c r="G57" s="267">
        <v>100</v>
      </c>
      <c r="H57" s="269">
        <f t="shared" si="0"/>
        <v>-60</v>
      </c>
    </row>
    <row r="58" spans="3:8" ht="16.5">
      <c r="C58" s="266" t="s">
        <v>780</v>
      </c>
      <c r="D58" s="266" t="s">
        <v>781</v>
      </c>
      <c r="E58" s="266" t="s">
        <v>782</v>
      </c>
      <c r="F58" s="267">
        <v>180</v>
      </c>
      <c r="G58" s="267">
        <v>100</v>
      </c>
      <c r="H58" s="269">
        <f t="shared" si="0"/>
        <v>-80</v>
      </c>
    </row>
    <row r="59" spans="3:8" ht="16.5">
      <c r="C59" s="266" t="s">
        <v>783</v>
      </c>
      <c r="D59" s="266" t="s">
        <v>781</v>
      </c>
      <c r="E59" s="266" t="s">
        <v>782</v>
      </c>
      <c r="F59" s="267">
        <v>190</v>
      </c>
      <c r="G59" s="267">
        <v>75</v>
      </c>
      <c r="H59" s="269">
        <f t="shared" si="0"/>
        <v>-115</v>
      </c>
    </row>
    <row r="60" spans="3:8" ht="16.5">
      <c r="C60" s="266" t="s">
        <v>784</v>
      </c>
      <c r="D60" s="266" t="s">
        <v>781</v>
      </c>
      <c r="E60" s="266" t="s">
        <v>782</v>
      </c>
      <c r="F60" s="267">
        <v>120</v>
      </c>
      <c r="G60" s="267">
        <v>135</v>
      </c>
      <c r="H60" s="269">
        <f t="shared" si="0"/>
        <v>15</v>
      </c>
    </row>
    <row r="61" spans="3:8" ht="16.5">
      <c r="C61" s="266" t="s">
        <v>785</v>
      </c>
      <c r="D61" s="266" t="s">
        <v>786</v>
      </c>
      <c r="E61" s="266" t="s">
        <v>787</v>
      </c>
      <c r="F61" s="267">
        <v>80</v>
      </c>
      <c r="G61" s="267">
        <v>155</v>
      </c>
      <c r="H61" s="269">
        <f t="shared" si="0"/>
        <v>75</v>
      </c>
    </row>
    <row r="62" spans="3:8" ht="16.5">
      <c r="C62" s="266" t="s">
        <v>788</v>
      </c>
      <c r="D62" s="266" t="s">
        <v>789</v>
      </c>
      <c r="E62" s="266" t="s">
        <v>787</v>
      </c>
      <c r="F62" s="267">
        <v>165</v>
      </c>
      <c r="G62" s="267">
        <v>100</v>
      </c>
      <c r="H62" s="269">
        <f t="shared" si="0"/>
        <v>-65</v>
      </c>
    </row>
    <row r="63" spans="3:8" ht="16.5">
      <c r="C63" s="266" t="s">
        <v>790</v>
      </c>
      <c r="D63" s="266" t="s">
        <v>791</v>
      </c>
      <c r="E63" s="266" t="s">
        <v>787</v>
      </c>
      <c r="F63" s="267">
        <v>180</v>
      </c>
      <c r="G63" s="267">
        <v>100</v>
      </c>
      <c r="H63" s="269">
        <f t="shared" si="0"/>
        <v>-80</v>
      </c>
    </row>
    <row r="64" spans="3:8" ht="16.5">
      <c r="C64" s="266" t="s">
        <v>792</v>
      </c>
      <c r="D64" s="266" t="s">
        <v>793</v>
      </c>
      <c r="E64" s="266" t="s">
        <v>787</v>
      </c>
      <c r="F64" s="267">
        <v>145</v>
      </c>
      <c r="G64" s="267">
        <v>115</v>
      </c>
      <c r="H64" s="269">
        <f t="shared" si="0"/>
        <v>-30</v>
      </c>
    </row>
    <row r="65" spans="3:8" ht="16.5">
      <c r="C65" s="266" t="s">
        <v>794</v>
      </c>
      <c r="D65" s="266" t="s">
        <v>789</v>
      </c>
      <c r="E65" s="266" t="s">
        <v>787</v>
      </c>
      <c r="F65" s="267">
        <v>175</v>
      </c>
      <c r="G65" s="267">
        <v>100</v>
      </c>
      <c r="H65" s="269">
        <f t="shared" si="0"/>
        <v>-75</v>
      </c>
    </row>
    <row r="66" spans="3:8" ht="16.5">
      <c r="C66" s="266" t="s">
        <v>795</v>
      </c>
      <c r="D66" s="266" t="s">
        <v>786</v>
      </c>
      <c r="E66" s="266" t="s">
        <v>787</v>
      </c>
      <c r="F66" s="267">
        <v>80</v>
      </c>
      <c r="G66" s="267">
        <v>155</v>
      </c>
      <c r="H66" s="269">
        <f t="shared" si="0"/>
        <v>75</v>
      </c>
    </row>
    <row r="67" spans="3:8" ht="16.5">
      <c r="C67" s="266" t="s">
        <v>796</v>
      </c>
      <c r="D67" s="266" t="s">
        <v>791</v>
      </c>
      <c r="E67" s="266" t="s">
        <v>787</v>
      </c>
      <c r="F67" s="267">
        <v>160</v>
      </c>
      <c r="G67" s="267">
        <v>100</v>
      </c>
      <c r="H67" s="269">
        <f t="shared" si="0"/>
        <v>-60</v>
      </c>
    </row>
    <row r="68" spans="3:8" ht="16.5">
      <c r="C68" s="266" t="s">
        <v>780</v>
      </c>
      <c r="D68" s="266" t="s">
        <v>781</v>
      </c>
      <c r="E68" s="266" t="s">
        <v>782</v>
      </c>
      <c r="F68" s="267">
        <v>160</v>
      </c>
      <c r="G68" s="267">
        <v>100</v>
      </c>
      <c r="H68" s="269">
        <f t="shared" si="0"/>
        <v>-60</v>
      </c>
    </row>
    <row r="69" spans="3:8" ht="16.5">
      <c r="C69" s="266" t="s">
        <v>783</v>
      </c>
      <c r="D69" s="266" t="s">
        <v>781</v>
      </c>
      <c r="E69" s="266" t="s">
        <v>782</v>
      </c>
      <c r="F69" s="267">
        <v>190</v>
      </c>
      <c r="G69" s="267">
        <v>75</v>
      </c>
      <c r="H69" s="269">
        <f t="shared" si="0"/>
        <v>-115</v>
      </c>
    </row>
    <row r="70" spans="3:8" ht="16.5">
      <c r="C70" s="266" t="s">
        <v>784</v>
      </c>
      <c r="D70" s="266" t="s">
        <v>781</v>
      </c>
      <c r="E70" s="266" t="s">
        <v>782</v>
      </c>
      <c r="F70" s="267">
        <v>120</v>
      </c>
      <c r="G70" s="267">
        <v>135</v>
      </c>
      <c r="H70" s="269">
        <f t="shared" si="0"/>
        <v>15</v>
      </c>
    </row>
    <row r="71" spans="3:8" ht="16.5">
      <c r="C71" s="266" t="s">
        <v>785</v>
      </c>
      <c r="D71" s="266" t="s">
        <v>786</v>
      </c>
      <c r="E71" s="266" t="s">
        <v>787</v>
      </c>
      <c r="F71" s="267">
        <v>80</v>
      </c>
      <c r="G71" s="267">
        <v>155</v>
      </c>
      <c r="H71" s="269">
        <f t="shared" si="0"/>
        <v>75</v>
      </c>
    </row>
    <row r="72" spans="3:8" ht="16.5">
      <c r="C72" s="266" t="s">
        <v>788</v>
      </c>
      <c r="D72" s="266" t="s">
        <v>789</v>
      </c>
      <c r="E72" s="266" t="s">
        <v>787</v>
      </c>
      <c r="F72" s="267">
        <v>165</v>
      </c>
      <c r="G72" s="267">
        <v>100</v>
      </c>
      <c r="H72" s="269">
        <f t="shared" si="0"/>
        <v>-65</v>
      </c>
    </row>
    <row r="73" spans="3:8" ht="16.5">
      <c r="C73" s="266" t="s">
        <v>790</v>
      </c>
      <c r="D73" s="266" t="s">
        <v>791</v>
      </c>
      <c r="E73" s="266" t="s">
        <v>787</v>
      </c>
      <c r="F73" s="267">
        <v>180</v>
      </c>
      <c r="G73" s="267">
        <v>100</v>
      </c>
      <c r="H73" s="269">
        <f t="shared" ref="H73:H107" si="1">G73-F73</f>
        <v>-80</v>
      </c>
    </row>
    <row r="74" spans="3:8" ht="16.5">
      <c r="C74" s="266" t="s">
        <v>792</v>
      </c>
      <c r="D74" s="266" t="s">
        <v>793</v>
      </c>
      <c r="E74" s="266" t="s">
        <v>787</v>
      </c>
      <c r="F74" s="267">
        <v>145</v>
      </c>
      <c r="G74" s="267">
        <v>115</v>
      </c>
      <c r="H74" s="269">
        <f t="shared" si="1"/>
        <v>-30</v>
      </c>
    </row>
    <row r="75" spans="3:8" ht="16.5">
      <c r="C75" s="266" t="s">
        <v>794</v>
      </c>
      <c r="D75" s="266" t="s">
        <v>789</v>
      </c>
      <c r="E75" s="266" t="s">
        <v>787</v>
      </c>
      <c r="F75" s="267">
        <v>175</v>
      </c>
      <c r="G75" s="267">
        <v>100</v>
      </c>
      <c r="H75" s="269">
        <f t="shared" si="1"/>
        <v>-75</v>
      </c>
    </row>
    <row r="76" spans="3:8" ht="16.5">
      <c r="C76" s="266" t="s">
        <v>795</v>
      </c>
      <c r="D76" s="266" t="s">
        <v>786</v>
      </c>
      <c r="E76" s="266" t="s">
        <v>787</v>
      </c>
      <c r="F76" s="267">
        <v>80</v>
      </c>
      <c r="G76" s="267">
        <v>155</v>
      </c>
      <c r="H76" s="269">
        <f t="shared" si="1"/>
        <v>75</v>
      </c>
    </row>
    <row r="77" spans="3:8" ht="16.5">
      <c r="C77" s="266" t="s">
        <v>796</v>
      </c>
      <c r="D77" s="266" t="s">
        <v>791</v>
      </c>
      <c r="E77" s="266" t="s">
        <v>787</v>
      </c>
      <c r="F77" s="267">
        <v>160</v>
      </c>
      <c r="G77" s="267">
        <v>100</v>
      </c>
      <c r="H77" s="269">
        <f t="shared" si="1"/>
        <v>-60</v>
      </c>
    </row>
    <row r="78" spans="3:8" ht="16.5">
      <c r="C78" s="266" t="s">
        <v>780</v>
      </c>
      <c r="D78" s="266" t="s">
        <v>781</v>
      </c>
      <c r="E78" s="266" t="s">
        <v>782</v>
      </c>
      <c r="F78" s="267">
        <v>160</v>
      </c>
      <c r="G78" s="267">
        <v>100</v>
      </c>
      <c r="H78" s="269">
        <f t="shared" si="1"/>
        <v>-60</v>
      </c>
    </row>
    <row r="79" spans="3:8" ht="16.5">
      <c r="C79" s="266" t="s">
        <v>783</v>
      </c>
      <c r="D79" s="266" t="s">
        <v>781</v>
      </c>
      <c r="E79" s="266" t="s">
        <v>782</v>
      </c>
      <c r="F79" s="267">
        <v>190</v>
      </c>
      <c r="G79" s="267">
        <v>75</v>
      </c>
      <c r="H79" s="269">
        <f t="shared" si="1"/>
        <v>-115</v>
      </c>
    </row>
    <row r="80" spans="3:8" ht="16.5">
      <c r="C80" s="266" t="s">
        <v>784</v>
      </c>
      <c r="D80" s="266" t="s">
        <v>781</v>
      </c>
      <c r="E80" s="266" t="s">
        <v>782</v>
      </c>
      <c r="F80" s="267">
        <v>120</v>
      </c>
      <c r="G80" s="267">
        <v>135</v>
      </c>
      <c r="H80" s="269">
        <f t="shared" si="1"/>
        <v>15</v>
      </c>
    </row>
    <row r="81" spans="3:8" ht="16.5">
      <c r="C81" s="266" t="s">
        <v>785</v>
      </c>
      <c r="D81" s="266" t="s">
        <v>786</v>
      </c>
      <c r="E81" s="266" t="s">
        <v>787</v>
      </c>
      <c r="F81" s="267">
        <v>80</v>
      </c>
      <c r="G81" s="267">
        <v>155</v>
      </c>
      <c r="H81" s="269">
        <f t="shared" si="1"/>
        <v>75</v>
      </c>
    </row>
    <row r="82" spans="3:8" ht="16.5">
      <c r="C82" s="266" t="s">
        <v>788</v>
      </c>
      <c r="D82" s="266" t="s">
        <v>789</v>
      </c>
      <c r="E82" s="266" t="s">
        <v>787</v>
      </c>
      <c r="F82" s="267">
        <v>165</v>
      </c>
      <c r="G82" s="267">
        <v>100</v>
      </c>
      <c r="H82" s="269">
        <f t="shared" si="1"/>
        <v>-65</v>
      </c>
    </row>
    <row r="83" spans="3:8" ht="16.5">
      <c r="C83" s="266" t="s">
        <v>790</v>
      </c>
      <c r="D83" s="266" t="s">
        <v>791</v>
      </c>
      <c r="E83" s="266" t="s">
        <v>787</v>
      </c>
      <c r="F83" s="267">
        <v>180</v>
      </c>
      <c r="G83" s="267">
        <v>100</v>
      </c>
      <c r="H83" s="269">
        <f t="shared" si="1"/>
        <v>-80</v>
      </c>
    </row>
    <row r="84" spans="3:8" ht="16.5">
      <c r="C84" s="266" t="s">
        <v>792</v>
      </c>
      <c r="D84" s="266" t="s">
        <v>793</v>
      </c>
      <c r="E84" s="266" t="s">
        <v>787</v>
      </c>
      <c r="F84" s="267">
        <v>145</v>
      </c>
      <c r="G84" s="267">
        <v>115</v>
      </c>
      <c r="H84" s="269">
        <f t="shared" si="1"/>
        <v>-30</v>
      </c>
    </row>
    <row r="85" spans="3:8" ht="16.5">
      <c r="C85" s="266" t="s">
        <v>794</v>
      </c>
      <c r="D85" s="266" t="s">
        <v>789</v>
      </c>
      <c r="E85" s="266" t="s">
        <v>787</v>
      </c>
      <c r="F85" s="267">
        <v>175</v>
      </c>
      <c r="G85" s="267">
        <v>100</v>
      </c>
      <c r="H85" s="269">
        <f t="shared" si="1"/>
        <v>-75</v>
      </c>
    </row>
    <row r="86" spans="3:8" ht="16.5">
      <c r="C86" s="266" t="s">
        <v>795</v>
      </c>
      <c r="D86" s="266" t="s">
        <v>786</v>
      </c>
      <c r="E86" s="266" t="s">
        <v>787</v>
      </c>
      <c r="F86" s="267">
        <v>80</v>
      </c>
      <c r="G86" s="267">
        <v>155</v>
      </c>
      <c r="H86" s="269">
        <f t="shared" si="1"/>
        <v>75</v>
      </c>
    </row>
    <row r="87" spans="3:8" ht="16.5">
      <c r="C87" s="266" t="s">
        <v>796</v>
      </c>
      <c r="D87" s="266" t="s">
        <v>791</v>
      </c>
      <c r="E87" s="266" t="s">
        <v>787</v>
      </c>
      <c r="F87" s="267">
        <v>160</v>
      </c>
      <c r="G87" s="267">
        <v>100</v>
      </c>
      <c r="H87" s="269">
        <f t="shared" si="1"/>
        <v>-60</v>
      </c>
    </row>
    <row r="88" spans="3:8" ht="16.5">
      <c r="C88" s="266" t="s">
        <v>780</v>
      </c>
      <c r="D88" s="266" t="s">
        <v>781</v>
      </c>
      <c r="E88" s="266" t="s">
        <v>782</v>
      </c>
      <c r="F88" s="267">
        <v>160</v>
      </c>
      <c r="G88" s="267">
        <v>100</v>
      </c>
      <c r="H88" s="269">
        <f t="shared" si="1"/>
        <v>-60</v>
      </c>
    </row>
    <row r="89" spans="3:8" ht="16.5">
      <c r="C89" s="266" t="s">
        <v>783</v>
      </c>
      <c r="D89" s="266" t="s">
        <v>781</v>
      </c>
      <c r="E89" s="266" t="s">
        <v>782</v>
      </c>
      <c r="F89" s="267">
        <v>190</v>
      </c>
      <c r="G89" s="267">
        <v>75</v>
      </c>
      <c r="H89" s="269">
        <f t="shared" si="1"/>
        <v>-115</v>
      </c>
    </row>
    <row r="90" spans="3:8" ht="16.5">
      <c r="C90" s="266" t="s">
        <v>784</v>
      </c>
      <c r="D90" s="266" t="s">
        <v>781</v>
      </c>
      <c r="E90" s="266" t="s">
        <v>782</v>
      </c>
      <c r="F90" s="267">
        <v>120</v>
      </c>
      <c r="G90" s="267">
        <v>135</v>
      </c>
      <c r="H90" s="269">
        <f t="shared" si="1"/>
        <v>15</v>
      </c>
    </row>
    <row r="91" spans="3:8" ht="16.5">
      <c r="C91" s="266" t="s">
        <v>785</v>
      </c>
      <c r="D91" s="266" t="s">
        <v>786</v>
      </c>
      <c r="E91" s="266" t="s">
        <v>787</v>
      </c>
      <c r="F91" s="267">
        <v>80</v>
      </c>
      <c r="G91" s="267">
        <v>155</v>
      </c>
      <c r="H91" s="269">
        <f t="shared" si="1"/>
        <v>75</v>
      </c>
    </row>
    <row r="92" spans="3:8" ht="16.5">
      <c r="C92" s="266" t="s">
        <v>788</v>
      </c>
      <c r="D92" s="266" t="s">
        <v>789</v>
      </c>
      <c r="E92" s="266" t="s">
        <v>787</v>
      </c>
      <c r="F92" s="267">
        <v>165</v>
      </c>
      <c r="G92" s="267">
        <v>100</v>
      </c>
      <c r="H92" s="269">
        <f t="shared" si="1"/>
        <v>-65</v>
      </c>
    </row>
    <row r="93" spans="3:8" ht="16.5">
      <c r="C93" s="266" t="s">
        <v>790</v>
      </c>
      <c r="D93" s="266" t="s">
        <v>791</v>
      </c>
      <c r="E93" s="266" t="s">
        <v>787</v>
      </c>
      <c r="F93" s="267">
        <v>180</v>
      </c>
      <c r="G93" s="267">
        <v>100</v>
      </c>
      <c r="H93" s="269">
        <f t="shared" si="1"/>
        <v>-80</v>
      </c>
    </row>
    <row r="94" spans="3:8" ht="16.5">
      <c r="C94" s="266" t="s">
        <v>792</v>
      </c>
      <c r="D94" s="266" t="s">
        <v>793</v>
      </c>
      <c r="E94" s="266" t="s">
        <v>787</v>
      </c>
      <c r="F94" s="267">
        <v>145</v>
      </c>
      <c r="G94" s="267">
        <v>115</v>
      </c>
      <c r="H94" s="269">
        <f t="shared" si="1"/>
        <v>-30</v>
      </c>
    </row>
    <row r="95" spans="3:8" ht="16.5">
      <c r="C95" s="266" t="s">
        <v>794</v>
      </c>
      <c r="D95" s="266" t="s">
        <v>789</v>
      </c>
      <c r="E95" s="266" t="s">
        <v>787</v>
      </c>
      <c r="F95" s="267">
        <v>175</v>
      </c>
      <c r="G95" s="267">
        <v>100</v>
      </c>
      <c r="H95" s="269">
        <f t="shared" si="1"/>
        <v>-75</v>
      </c>
    </row>
    <row r="96" spans="3:8" ht="16.5">
      <c r="C96" s="266" t="s">
        <v>795</v>
      </c>
      <c r="D96" s="266" t="s">
        <v>786</v>
      </c>
      <c r="E96" s="266" t="s">
        <v>787</v>
      </c>
      <c r="F96" s="267">
        <v>80</v>
      </c>
      <c r="G96" s="267">
        <v>155</v>
      </c>
      <c r="H96" s="269">
        <f t="shared" si="1"/>
        <v>75</v>
      </c>
    </row>
    <row r="97" spans="3:9" ht="16.5">
      <c r="C97" s="266" t="s">
        <v>796</v>
      </c>
      <c r="D97" s="266" t="s">
        <v>791</v>
      </c>
      <c r="E97" s="266" t="s">
        <v>787</v>
      </c>
      <c r="F97" s="267">
        <v>160</v>
      </c>
      <c r="G97" s="267">
        <v>100</v>
      </c>
      <c r="H97" s="269">
        <f t="shared" si="1"/>
        <v>-60</v>
      </c>
    </row>
    <row r="98" spans="3:9" ht="16.5">
      <c r="C98" s="266" t="s">
        <v>780</v>
      </c>
      <c r="D98" s="266" t="s">
        <v>781</v>
      </c>
      <c r="E98" s="266" t="s">
        <v>782</v>
      </c>
      <c r="F98" s="267">
        <v>160</v>
      </c>
      <c r="G98" s="267">
        <v>100</v>
      </c>
      <c r="H98" s="269">
        <f t="shared" si="1"/>
        <v>-60</v>
      </c>
    </row>
    <row r="99" spans="3:9" ht="16.5">
      <c r="C99" s="266" t="s">
        <v>783</v>
      </c>
      <c r="D99" s="266" t="s">
        <v>781</v>
      </c>
      <c r="E99" s="266" t="s">
        <v>782</v>
      </c>
      <c r="F99" s="267">
        <v>190</v>
      </c>
      <c r="G99" s="267">
        <v>75</v>
      </c>
      <c r="H99" s="269">
        <f t="shared" si="1"/>
        <v>-115</v>
      </c>
    </row>
    <row r="100" spans="3:9" ht="16.5">
      <c r="C100" s="266" t="s">
        <v>784</v>
      </c>
      <c r="D100" s="266" t="s">
        <v>781</v>
      </c>
      <c r="E100" s="266" t="s">
        <v>782</v>
      </c>
      <c r="F100" s="267">
        <v>120</v>
      </c>
      <c r="G100" s="267">
        <v>135</v>
      </c>
      <c r="H100" s="269">
        <f t="shared" si="1"/>
        <v>15</v>
      </c>
    </row>
    <row r="101" spans="3:9" ht="16.5">
      <c r="C101" s="266" t="s">
        <v>785</v>
      </c>
      <c r="D101" s="266" t="s">
        <v>786</v>
      </c>
      <c r="E101" s="266" t="s">
        <v>787</v>
      </c>
      <c r="F101" s="267">
        <v>80</v>
      </c>
      <c r="G101" s="267">
        <v>155</v>
      </c>
      <c r="H101" s="269">
        <f t="shared" si="1"/>
        <v>75</v>
      </c>
    </row>
    <row r="102" spans="3:9" ht="16.5">
      <c r="C102" s="266" t="s">
        <v>788</v>
      </c>
      <c r="D102" s="266" t="s">
        <v>789</v>
      </c>
      <c r="E102" s="266" t="s">
        <v>787</v>
      </c>
      <c r="F102" s="267">
        <v>165</v>
      </c>
      <c r="G102" s="267">
        <v>100</v>
      </c>
      <c r="H102" s="269">
        <f t="shared" si="1"/>
        <v>-65</v>
      </c>
    </row>
    <row r="103" spans="3:9" ht="16.5">
      <c r="C103" s="266" t="s">
        <v>790</v>
      </c>
      <c r="D103" s="266" t="s">
        <v>791</v>
      </c>
      <c r="E103" s="266" t="s">
        <v>787</v>
      </c>
      <c r="F103" s="267">
        <v>180</v>
      </c>
      <c r="G103" s="267">
        <v>100</v>
      </c>
      <c r="H103" s="269">
        <f t="shared" si="1"/>
        <v>-80</v>
      </c>
    </row>
    <row r="104" spans="3:9" ht="16.5">
      <c r="C104" s="266" t="s">
        <v>792</v>
      </c>
      <c r="D104" s="266" t="s">
        <v>793</v>
      </c>
      <c r="E104" s="266" t="s">
        <v>787</v>
      </c>
      <c r="F104" s="267">
        <v>145</v>
      </c>
      <c r="G104" s="267">
        <v>115</v>
      </c>
      <c r="H104" s="269">
        <f t="shared" si="1"/>
        <v>-30</v>
      </c>
    </row>
    <row r="105" spans="3:9" ht="16.5">
      <c r="C105" s="266" t="s">
        <v>794</v>
      </c>
      <c r="D105" s="266" t="s">
        <v>789</v>
      </c>
      <c r="E105" s="266" t="s">
        <v>787</v>
      </c>
      <c r="F105" s="267">
        <v>175</v>
      </c>
      <c r="G105" s="267">
        <v>100</v>
      </c>
      <c r="H105" s="269">
        <f t="shared" si="1"/>
        <v>-75</v>
      </c>
    </row>
    <row r="106" spans="3:9" ht="16.5">
      <c r="C106" s="266" t="s">
        <v>795</v>
      </c>
      <c r="D106" s="266" t="s">
        <v>786</v>
      </c>
      <c r="E106" s="266" t="s">
        <v>787</v>
      </c>
      <c r="F106" s="267">
        <v>80</v>
      </c>
      <c r="G106" s="267">
        <v>155</v>
      </c>
      <c r="H106" s="269">
        <f t="shared" si="1"/>
        <v>75</v>
      </c>
    </row>
    <row r="107" spans="3:9" ht="16.5">
      <c r="C107" s="266" t="s">
        <v>796</v>
      </c>
      <c r="D107" s="266" t="s">
        <v>791</v>
      </c>
      <c r="E107" s="266" t="s">
        <v>787</v>
      </c>
      <c r="F107" s="267">
        <v>160</v>
      </c>
      <c r="G107" s="267">
        <v>100</v>
      </c>
      <c r="H107" s="269">
        <f t="shared" si="1"/>
        <v>-60</v>
      </c>
    </row>
    <row r="110" spans="3:9" ht="28.5">
      <c r="F110" s="513" t="s">
        <v>798</v>
      </c>
      <c r="G110" s="513"/>
      <c r="H110" s="513"/>
      <c r="I110" s="513"/>
    </row>
    <row r="112" spans="3:9" ht="26.25">
      <c r="C112" s="518" t="s">
        <v>909</v>
      </c>
      <c r="D112" s="518"/>
      <c r="E112" s="518"/>
      <c r="F112" s="518"/>
      <c r="G112" s="518"/>
      <c r="H112" s="518"/>
    </row>
    <row r="113" spans="3:14" ht="15.75" thickBot="1">
      <c r="K113" s="274">
        <v>0.12</v>
      </c>
    </row>
    <row r="114" spans="3:14" ht="16.5" thickTop="1" thickBot="1">
      <c r="C114" s="268" t="s">
        <v>413</v>
      </c>
      <c r="D114" s="268" t="s">
        <v>799</v>
      </c>
      <c r="E114" s="268" t="s">
        <v>800</v>
      </c>
      <c r="F114" s="268" t="s">
        <v>136</v>
      </c>
      <c r="G114" s="268" t="s">
        <v>775</v>
      </c>
      <c r="H114" s="268" t="s">
        <v>801</v>
      </c>
      <c r="I114" s="268" t="s">
        <v>802</v>
      </c>
      <c r="J114" s="268" t="s">
        <v>803</v>
      </c>
      <c r="K114" s="268" t="s">
        <v>804</v>
      </c>
      <c r="L114" s="268" t="s">
        <v>415</v>
      </c>
    </row>
    <row r="115" spans="3:14" ht="27" thickTop="1">
      <c r="C115" s="272">
        <v>43072</v>
      </c>
      <c r="D115" s="267">
        <v>1</v>
      </c>
      <c r="E115" s="267" t="s">
        <v>805</v>
      </c>
      <c r="F115" s="267">
        <v>5</v>
      </c>
      <c r="G115" s="267" t="s">
        <v>806</v>
      </c>
      <c r="H115" s="267" t="s">
        <v>807</v>
      </c>
      <c r="I115" s="267">
        <v>3200</v>
      </c>
      <c r="J115" s="267">
        <v>16000</v>
      </c>
      <c r="K115" s="275">
        <f>J115*$K$113</f>
        <v>1920</v>
      </c>
      <c r="L115" s="273">
        <v>16800</v>
      </c>
      <c r="N115" s="270" t="str">
        <f ca="1">_xlfn.FORMULATEXT(K115)</f>
        <v>=J115*$K$113</v>
      </c>
    </row>
    <row r="116" spans="3:14" ht="16.5">
      <c r="C116" s="272">
        <v>43074</v>
      </c>
      <c r="D116" s="267">
        <v>2</v>
      </c>
      <c r="E116" s="267" t="s">
        <v>808</v>
      </c>
      <c r="F116" s="267">
        <v>3</v>
      </c>
      <c r="G116" s="267" t="s">
        <v>809</v>
      </c>
      <c r="H116" s="267" t="s">
        <v>810</v>
      </c>
      <c r="I116" s="267">
        <v>1250</v>
      </c>
      <c r="J116" s="267">
        <v>3750</v>
      </c>
      <c r="K116" s="273">
        <f t="shared" ref="K116:K179" si="2">J116*$K$113</f>
        <v>450</v>
      </c>
      <c r="L116" s="273">
        <v>3937.5</v>
      </c>
    </row>
    <row r="117" spans="3:14" ht="16.5">
      <c r="C117" s="272">
        <v>43079</v>
      </c>
      <c r="D117" s="267">
        <v>3</v>
      </c>
      <c r="E117" s="267" t="s">
        <v>811</v>
      </c>
      <c r="F117" s="267">
        <v>4</v>
      </c>
      <c r="G117" s="267" t="s">
        <v>809</v>
      </c>
      <c r="H117" s="267" t="s">
        <v>812</v>
      </c>
      <c r="I117" s="267">
        <v>1250</v>
      </c>
      <c r="J117" s="267">
        <v>5000</v>
      </c>
      <c r="K117" s="273">
        <f t="shared" si="2"/>
        <v>600</v>
      </c>
      <c r="L117" s="273">
        <v>5250</v>
      </c>
    </row>
    <row r="118" spans="3:14" ht="16.5">
      <c r="C118" s="272">
        <v>43081</v>
      </c>
      <c r="D118" s="267">
        <v>4</v>
      </c>
      <c r="E118" s="267" t="s">
        <v>813</v>
      </c>
      <c r="F118" s="267">
        <v>12</v>
      </c>
      <c r="G118" s="267" t="s">
        <v>814</v>
      </c>
      <c r="H118" s="267" t="s">
        <v>815</v>
      </c>
      <c r="I118" s="267">
        <v>150</v>
      </c>
      <c r="J118" s="267">
        <v>1800</v>
      </c>
      <c r="K118" s="273">
        <f t="shared" si="2"/>
        <v>216</v>
      </c>
      <c r="L118" s="273">
        <v>1890</v>
      </c>
    </row>
    <row r="119" spans="3:14" ht="16.5">
      <c r="C119" s="272">
        <v>43084</v>
      </c>
      <c r="D119" s="267">
        <v>5</v>
      </c>
      <c r="E119" s="267" t="s">
        <v>816</v>
      </c>
      <c r="F119" s="267">
        <v>6</v>
      </c>
      <c r="G119" s="267" t="s">
        <v>817</v>
      </c>
      <c r="H119" s="267" t="s">
        <v>818</v>
      </c>
      <c r="I119" s="267">
        <v>99</v>
      </c>
      <c r="J119" s="267">
        <v>594</v>
      </c>
      <c r="K119" s="273">
        <f t="shared" si="2"/>
        <v>71.28</v>
      </c>
      <c r="L119" s="273">
        <v>623.70000000000005</v>
      </c>
    </row>
    <row r="120" spans="3:14" ht="16.5">
      <c r="C120" s="272">
        <v>43089</v>
      </c>
      <c r="D120" s="267">
        <v>6</v>
      </c>
      <c r="E120" s="267" t="s">
        <v>819</v>
      </c>
      <c r="F120" s="267">
        <v>10</v>
      </c>
      <c r="G120" s="267" t="s">
        <v>806</v>
      </c>
      <c r="H120" s="267" t="s">
        <v>807</v>
      </c>
      <c r="I120" s="267">
        <v>3200</v>
      </c>
      <c r="J120" s="267">
        <v>32000</v>
      </c>
      <c r="K120" s="273">
        <f t="shared" si="2"/>
        <v>3840</v>
      </c>
      <c r="L120" s="273">
        <v>33600</v>
      </c>
    </row>
    <row r="121" spans="3:14" ht="16.5">
      <c r="C121" s="272">
        <v>43090</v>
      </c>
      <c r="D121" s="267">
        <v>7</v>
      </c>
      <c r="E121" s="267" t="s">
        <v>820</v>
      </c>
      <c r="F121" s="267">
        <v>5</v>
      </c>
      <c r="G121" s="267" t="s">
        <v>821</v>
      </c>
      <c r="H121" s="267" t="s">
        <v>822</v>
      </c>
      <c r="I121" s="267">
        <v>590</v>
      </c>
      <c r="J121" s="267">
        <v>2950</v>
      </c>
      <c r="K121" s="273">
        <f t="shared" si="2"/>
        <v>354</v>
      </c>
      <c r="L121" s="273">
        <v>3097.5</v>
      </c>
    </row>
    <row r="122" spans="3:14" ht="16.5">
      <c r="C122" s="272">
        <v>43092</v>
      </c>
      <c r="D122" s="267">
        <v>8</v>
      </c>
      <c r="E122" s="267" t="s">
        <v>823</v>
      </c>
      <c r="F122" s="267">
        <v>2</v>
      </c>
      <c r="G122" s="267" t="s">
        <v>817</v>
      </c>
      <c r="H122" s="267" t="s">
        <v>824</v>
      </c>
      <c r="I122" s="267">
        <v>99</v>
      </c>
      <c r="J122" s="267">
        <v>198</v>
      </c>
      <c r="K122" s="273">
        <f t="shared" si="2"/>
        <v>23.759999999999998</v>
      </c>
      <c r="L122" s="273">
        <v>207.9</v>
      </c>
    </row>
    <row r="123" spans="3:14" ht="16.5">
      <c r="C123" s="272">
        <v>43095</v>
      </c>
      <c r="D123" s="267">
        <v>9</v>
      </c>
      <c r="E123" s="267" t="s">
        <v>825</v>
      </c>
      <c r="F123" s="267">
        <v>10</v>
      </c>
      <c r="G123" s="267" t="s">
        <v>814</v>
      </c>
      <c r="H123" s="267" t="s">
        <v>826</v>
      </c>
      <c r="I123" s="267">
        <v>150</v>
      </c>
      <c r="J123" s="267">
        <v>1500</v>
      </c>
      <c r="K123" s="273">
        <f t="shared" si="2"/>
        <v>180</v>
      </c>
      <c r="L123" s="273">
        <v>1575</v>
      </c>
    </row>
    <row r="124" spans="3:14" ht="16.5">
      <c r="C124" s="272">
        <v>43099</v>
      </c>
      <c r="D124" s="267">
        <v>10</v>
      </c>
      <c r="E124" s="267" t="s">
        <v>827</v>
      </c>
      <c r="F124" s="267">
        <v>5</v>
      </c>
      <c r="G124" s="267" t="s">
        <v>821</v>
      </c>
      <c r="H124" s="267" t="s">
        <v>824</v>
      </c>
      <c r="I124" s="267">
        <v>590</v>
      </c>
      <c r="J124" s="267">
        <v>2950</v>
      </c>
      <c r="K124" s="273">
        <f t="shared" si="2"/>
        <v>354</v>
      </c>
      <c r="L124" s="273">
        <v>3097.5</v>
      </c>
    </row>
    <row r="125" spans="3:14" ht="16.5">
      <c r="C125" s="272">
        <v>43072</v>
      </c>
      <c r="D125" s="267">
        <v>11</v>
      </c>
      <c r="E125" s="267" t="s">
        <v>828</v>
      </c>
      <c r="F125" s="267">
        <v>3</v>
      </c>
      <c r="G125" s="267" t="s">
        <v>806</v>
      </c>
      <c r="H125" s="267" t="s">
        <v>807</v>
      </c>
      <c r="I125" s="267">
        <v>3200</v>
      </c>
      <c r="J125" s="267">
        <v>9600</v>
      </c>
      <c r="K125" s="273">
        <f t="shared" si="2"/>
        <v>1152</v>
      </c>
      <c r="L125" s="273">
        <v>10080</v>
      </c>
    </row>
    <row r="126" spans="3:14" ht="16.5">
      <c r="C126" s="272">
        <v>43074</v>
      </c>
      <c r="D126" s="267">
        <v>12</v>
      </c>
      <c r="E126" s="267" t="s">
        <v>829</v>
      </c>
      <c r="F126" s="267">
        <v>3</v>
      </c>
      <c r="G126" s="267" t="s">
        <v>809</v>
      </c>
      <c r="H126" s="267" t="s">
        <v>810</v>
      </c>
      <c r="I126" s="267">
        <v>1250</v>
      </c>
      <c r="J126" s="267">
        <v>3750</v>
      </c>
      <c r="K126" s="273">
        <f t="shared" si="2"/>
        <v>450</v>
      </c>
      <c r="L126" s="273">
        <v>3937.5</v>
      </c>
    </row>
    <row r="127" spans="3:14" ht="16.5">
      <c r="C127" s="272">
        <v>43079</v>
      </c>
      <c r="D127" s="267">
        <v>13</v>
      </c>
      <c r="E127" s="267" t="s">
        <v>830</v>
      </c>
      <c r="F127" s="267">
        <v>4</v>
      </c>
      <c r="G127" s="267" t="s">
        <v>809</v>
      </c>
      <c r="H127" s="267" t="s">
        <v>812</v>
      </c>
      <c r="I127" s="267">
        <v>1250</v>
      </c>
      <c r="J127" s="267">
        <v>5000</v>
      </c>
      <c r="K127" s="273">
        <f t="shared" si="2"/>
        <v>600</v>
      </c>
      <c r="L127" s="273">
        <v>5250</v>
      </c>
    </row>
    <row r="128" spans="3:14" ht="16.5">
      <c r="C128" s="272">
        <v>43081</v>
      </c>
      <c r="D128" s="267">
        <v>14</v>
      </c>
      <c r="E128" s="267" t="s">
        <v>831</v>
      </c>
      <c r="F128" s="267">
        <v>12</v>
      </c>
      <c r="G128" s="267" t="s">
        <v>814</v>
      </c>
      <c r="H128" s="267" t="s">
        <v>815</v>
      </c>
      <c r="I128" s="267">
        <v>150</v>
      </c>
      <c r="J128" s="267">
        <v>1800</v>
      </c>
      <c r="K128" s="273">
        <f t="shared" si="2"/>
        <v>216</v>
      </c>
      <c r="L128" s="273">
        <v>1890</v>
      </c>
    </row>
    <row r="129" spans="3:12" ht="16.5">
      <c r="C129" s="272">
        <v>43084</v>
      </c>
      <c r="D129" s="267">
        <v>15</v>
      </c>
      <c r="E129" s="267" t="s">
        <v>832</v>
      </c>
      <c r="F129" s="267">
        <v>6</v>
      </c>
      <c r="G129" s="267" t="s">
        <v>817</v>
      </c>
      <c r="H129" s="267" t="s">
        <v>818</v>
      </c>
      <c r="I129" s="267">
        <v>99</v>
      </c>
      <c r="J129" s="267">
        <v>594</v>
      </c>
      <c r="K129" s="273">
        <f t="shared" si="2"/>
        <v>71.28</v>
      </c>
      <c r="L129" s="273">
        <v>623.70000000000005</v>
      </c>
    </row>
    <row r="130" spans="3:12" ht="16.5">
      <c r="C130" s="272">
        <v>43089</v>
      </c>
      <c r="D130" s="267">
        <v>16</v>
      </c>
      <c r="E130" s="267" t="s">
        <v>833</v>
      </c>
      <c r="F130" s="267">
        <v>10</v>
      </c>
      <c r="G130" s="267" t="s">
        <v>806</v>
      </c>
      <c r="H130" s="267" t="s">
        <v>807</v>
      </c>
      <c r="I130" s="267">
        <v>3200</v>
      </c>
      <c r="J130" s="267">
        <v>32000</v>
      </c>
      <c r="K130" s="273">
        <f t="shared" si="2"/>
        <v>3840</v>
      </c>
      <c r="L130" s="273">
        <v>33600</v>
      </c>
    </row>
    <row r="131" spans="3:12" ht="16.5">
      <c r="C131" s="272">
        <v>43090</v>
      </c>
      <c r="D131" s="267">
        <v>17</v>
      </c>
      <c r="E131" s="267" t="s">
        <v>834</v>
      </c>
      <c r="F131" s="267">
        <v>5</v>
      </c>
      <c r="G131" s="267" t="s">
        <v>821</v>
      </c>
      <c r="H131" s="267" t="s">
        <v>822</v>
      </c>
      <c r="I131" s="267">
        <v>590</v>
      </c>
      <c r="J131" s="267">
        <v>2950</v>
      </c>
      <c r="K131" s="273">
        <f t="shared" si="2"/>
        <v>354</v>
      </c>
      <c r="L131" s="273">
        <v>3097.5</v>
      </c>
    </row>
    <row r="132" spans="3:12" ht="16.5">
      <c r="C132" s="272">
        <v>43092</v>
      </c>
      <c r="D132" s="267">
        <v>18</v>
      </c>
      <c r="E132" s="267" t="s">
        <v>834</v>
      </c>
      <c r="F132" s="267">
        <v>2</v>
      </c>
      <c r="G132" s="267" t="s">
        <v>817</v>
      </c>
      <c r="H132" s="267" t="s">
        <v>824</v>
      </c>
      <c r="I132" s="267">
        <v>99</v>
      </c>
      <c r="J132" s="267">
        <v>198</v>
      </c>
      <c r="K132" s="273">
        <f t="shared" si="2"/>
        <v>23.759999999999998</v>
      </c>
      <c r="L132" s="273">
        <v>207.9</v>
      </c>
    </row>
    <row r="133" spans="3:12" ht="16.5">
      <c r="C133" s="272">
        <v>43095</v>
      </c>
      <c r="D133" s="267">
        <v>19</v>
      </c>
      <c r="E133" s="267" t="s">
        <v>835</v>
      </c>
      <c r="F133" s="267">
        <v>10</v>
      </c>
      <c r="G133" s="267" t="s">
        <v>814</v>
      </c>
      <c r="H133" s="267" t="s">
        <v>826</v>
      </c>
      <c r="I133" s="267">
        <v>150</v>
      </c>
      <c r="J133" s="267">
        <v>1500</v>
      </c>
      <c r="K133" s="273">
        <f t="shared" si="2"/>
        <v>180</v>
      </c>
      <c r="L133" s="273">
        <v>1575</v>
      </c>
    </row>
    <row r="134" spans="3:12" ht="16.5">
      <c r="C134" s="272">
        <v>43099</v>
      </c>
      <c r="D134" s="267">
        <v>20</v>
      </c>
      <c r="E134" s="267" t="s">
        <v>836</v>
      </c>
      <c r="F134" s="267">
        <v>5</v>
      </c>
      <c r="G134" s="267" t="s">
        <v>821</v>
      </c>
      <c r="H134" s="267" t="s">
        <v>824</v>
      </c>
      <c r="I134" s="267">
        <v>590</v>
      </c>
      <c r="J134" s="267">
        <v>2950</v>
      </c>
      <c r="K134" s="273">
        <f t="shared" si="2"/>
        <v>354</v>
      </c>
      <c r="L134" s="273">
        <v>3097.5</v>
      </c>
    </row>
    <row r="135" spans="3:12" ht="16.5">
      <c r="C135" s="272">
        <v>43072</v>
      </c>
      <c r="D135" s="267">
        <v>21</v>
      </c>
      <c r="E135" s="267" t="s">
        <v>837</v>
      </c>
      <c r="F135" s="267">
        <v>15</v>
      </c>
      <c r="G135" s="267" t="s">
        <v>806</v>
      </c>
      <c r="H135" s="267" t="s">
        <v>807</v>
      </c>
      <c r="I135" s="267">
        <v>3200</v>
      </c>
      <c r="J135" s="267">
        <v>48000</v>
      </c>
      <c r="K135" s="273">
        <f t="shared" si="2"/>
        <v>5760</v>
      </c>
      <c r="L135" s="273">
        <v>50400</v>
      </c>
    </row>
    <row r="136" spans="3:12" ht="16.5">
      <c r="C136" s="272">
        <v>43074</v>
      </c>
      <c r="D136" s="267">
        <v>22</v>
      </c>
      <c r="E136" s="267" t="s">
        <v>838</v>
      </c>
      <c r="F136" s="267">
        <v>3</v>
      </c>
      <c r="G136" s="267" t="s">
        <v>809</v>
      </c>
      <c r="H136" s="267" t="s">
        <v>810</v>
      </c>
      <c r="I136" s="267">
        <v>1250</v>
      </c>
      <c r="J136" s="267">
        <v>3750</v>
      </c>
      <c r="K136" s="273">
        <f t="shared" si="2"/>
        <v>450</v>
      </c>
      <c r="L136" s="273">
        <v>3937.5</v>
      </c>
    </row>
    <row r="137" spans="3:12" ht="16.5">
      <c r="C137" s="272">
        <v>43079</v>
      </c>
      <c r="D137" s="267">
        <v>23</v>
      </c>
      <c r="E137" s="267" t="s">
        <v>839</v>
      </c>
      <c r="F137" s="267">
        <v>4</v>
      </c>
      <c r="G137" s="267" t="s">
        <v>809</v>
      </c>
      <c r="H137" s="267" t="s">
        <v>812</v>
      </c>
      <c r="I137" s="267">
        <v>1250</v>
      </c>
      <c r="J137" s="267">
        <v>5000</v>
      </c>
      <c r="K137" s="273">
        <f t="shared" si="2"/>
        <v>600</v>
      </c>
      <c r="L137" s="273">
        <v>5250</v>
      </c>
    </row>
    <row r="138" spans="3:12" ht="16.5">
      <c r="C138" s="272">
        <v>43081</v>
      </c>
      <c r="D138" s="267">
        <v>24</v>
      </c>
      <c r="E138" s="267" t="s">
        <v>840</v>
      </c>
      <c r="F138" s="267">
        <v>12</v>
      </c>
      <c r="G138" s="267" t="s">
        <v>814</v>
      </c>
      <c r="H138" s="267" t="s">
        <v>815</v>
      </c>
      <c r="I138" s="267">
        <v>150</v>
      </c>
      <c r="J138" s="267">
        <v>1800</v>
      </c>
      <c r="K138" s="273">
        <f t="shared" si="2"/>
        <v>216</v>
      </c>
      <c r="L138" s="273">
        <v>1890</v>
      </c>
    </row>
    <row r="139" spans="3:12" ht="16.5">
      <c r="C139" s="272">
        <v>43084</v>
      </c>
      <c r="D139" s="267">
        <v>25</v>
      </c>
      <c r="E139" s="267" t="s">
        <v>841</v>
      </c>
      <c r="F139" s="267">
        <v>6</v>
      </c>
      <c r="G139" s="267" t="s">
        <v>817</v>
      </c>
      <c r="H139" s="267" t="s">
        <v>818</v>
      </c>
      <c r="I139" s="267">
        <v>99</v>
      </c>
      <c r="J139" s="267">
        <v>594</v>
      </c>
      <c r="K139" s="273">
        <f t="shared" si="2"/>
        <v>71.28</v>
      </c>
      <c r="L139" s="273">
        <v>623.70000000000005</v>
      </c>
    </row>
    <row r="140" spans="3:12" ht="16.5">
      <c r="C140" s="272">
        <v>43089</v>
      </c>
      <c r="D140" s="267">
        <v>26</v>
      </c>
      <c r="E140" s="267" t="s">
        <v>842</v>
      </c>
      <c r="F140" s="267">
        <v>10</v>
      </c>
      <c r="G140" s="267" t="s">
        <v>806</v>
      </c>
      <c r="H140" s="267" t="s">
        <v>807</v>
      </c>
      <c r="I140" s="267">
        <v>3200</v>
      </c>
      <c r="J140" s="267">
        <v>32000</v>
      </c>
      <c r="K140" s="273">
        <f t="shared" si="2"/>
        <v>3840</v>
      </c>
      <c r="L140" s="273">
        <v>33600</v>
      </c>
    </row>
    <row r="141" spans="3:12" ht="16.5">
      <c r="C141" s="272">
        <v>43090</v>
      </c>
      <c r="D141" s="267">
        <v>27</v>
      </c>
      <c r="E141" s="267" t="s">
        <v>843</v>
      </c>
      <c r="F141" s="267">
        <v>5</v>
      </c>
      <c r="G141" s="267" t="s">
        <v>821</v>
      </c>
      <c r="H141" s="267" t="s">
        <v>822</v>
      </c>
      <c r="I141" s="267">
        <v>590</v>
      </c>
      <c r="J141" s="267">
        <v>2950</v>
      </c>
      <c r="K141" s="273">
        <f t="shared" si="2"/>
        <v>354</v>
      </c>
      <c r="L141" s="273">
        <v>3097.5</v>
      </c>
    </row>
    <row r="142" spans="3:12" ht="16.5">
      <c r="C142" s="272">
        <v>43092</v>
      </c>
      <c r="D142" s="267">
        <v>28</v>
      </c>
      <c r="E142" s="267" t="s">
        <v>844</v>
      </c>
      <c r="F142" s="267">
        <v>2</v>
      </c>
      <c r="G142" s="267" t="s">
        <v>817</v>
      </c>
      <c r="H142" s="267" t="s">
        <v>824</v>
      </c>
      <c r="I142" s="267">
        <v>99</v>
      </c>
      <c r="J142" s="267">
        <v>198</v>
      </c>
      <c r="K142" s="273">
        <f t="shared" si="2"/>
        <v>23.759999999999998</v>
      </c>
      <c r="L142" s="273">
        <v>207.9</v>
      </c>
    </row>
    <row r="143" spans="3:12" ht="16.5">
      <c r="C143" s="272">
        <v>43095</v>
      </c>
      <c r="D143" s="267">
        <v>29</v>
      </c>
      <c r="E143" s="267" t="s">
        <v>845</v>
      </c>
      <c r="F143" s="267">
        <v>10</v>
      </c>
      <c r="G143" s="267" t="s">
        <v>814</v>
      </c>
      <c r="H143" s="267" t="s">
        <v>826</v>
      </c>
      <c r="I143" s="267">
        <v>150</v>
      </c>
      <c r="J143" s="267">
        <v>1500</v>
      </c>
      <c r="K143" s="273">
        <f t="shared" si="2"/>
        <v>180</v>
      </c>
      <c r="L143" s="273">
        <v>1575</v>
      </c>
    </row>
    <row r="144" spans="3:12" ht="16.5">
      <c r="C144" s="272">
        <v>43099</v>
      </c>
      <c r="D144" s="267">
        <v>30</v>
      </c>
      <c r="E144" s="267" t="s">
        <v>846</v>
      </c>
      <c r="F144" s="267">
        <v>5</v>
      </c>
      <c r="G144" s="267" t="s">
        <v>821</v>
      </c>
      <c r="H144" s="267" t="s">
        <v>824</v>
      </c>
      <c r="I144" s="267">
        <v>590</v>
      </c>
      <c r="J144" s="267">
        <v>2950</v>
      </c>
      <c r="K144" s="273">
        <f t="shared" si="2"/>
        <v>354</v>
      </c>
      <c r="L144" s="273">
        <v>3097.5</v>
      </c>
    </row>
    <row r="145" spans="3:12" ht="16.5">
      <c r="C145" s="272">
        <v>43072</v>
      </c>
      <c r="D145" s="267">
        <v>31</v>
      </c>
      <c r="E145" s="267" t="s">
        <v>847</v>
      </c>
      <c r="F145" s="267">
        <v>18</v>
      </c>
      <c r="G145" s="267" t="s">
        <v>806</v>
      </c>
      <c r="H145" s="267" t="s">
        <v>807</v>
      </c>
      <c r="I145" s="267">
        <v>3200</v>
      </c>
      <c r="J145" s="267">
        <v>57600</v>
      </c>
      <c r="K145" s="273">
        <f t="shared" si="2"/>
        <v>6912</v>
      </c>
      <c r="L145" s="273">
        <v>60480</v>
      </c>
    </row>
    <row r="146" spans="3:12" ht="16.5">
      <c r="C146" s="272">
        <v>43074</v>
      </c>
      <c r="D146" s="267">
        <v>32</v>
      </c>
      <c r="E146" s="267" t="s">
        <v>848</v>
      </c>
      <c r="F146" s="267">
        <v>3</v>
      </c>
      <c r="G146" s="267" t="s">
        <v>809</v>
      </c>
      <c r="H146" s="267" t="s">
        <v>810</v>
      </c>
      <c r="I146" s="267">
        <v>1250</v>
      </c>
      <c r="J146" s="267">
        <v>3750</v>
      </c>
      <c r="K146" s="273">
        <f t="shared" si="2"/>
        <v>450</v>
      </c>
      <c r="L146" s="273">
        <v>3937.5</v>
      </c>
    </row>
    <row r="147" spans="3:12" ht="16.5">
      <c r="C147" s="272">
        <v>43079</v>
      </c>
      <c r="D147" s="267">
        <v>33</v>
      </c>
      <c r="E147" s="267" t="s">
        <v>849</v>
      </c>
      <c r="F147" s="267">
        <v>4</v>
      </c>
      <c r="G147" s="267" t="s">
        <v>809</v>
      </c>
      <c r="H147" s="267" t="s">
        <v>812</v>
      </c>
      <c r="I147" s="267">
        <v>1250</v>
      </c>
      <c r="J147" s="267">
        <v>5000</v>
      </c>
      <c r="K147" s="273">
        <f t="shared" si="2"/>
        <v>600</v>
      </c>
      <c r="L147" s="273">
        <v>5250</v>
      </c>
    </row>
    <row r="148" spans="3:12" ht="16.5">
      <c r="C148" s="272">
        <v>43081</v>
      </c>
      <c r="D148" s="267">
        <v>34</v>
      </c>
      <c r="E148" s="267" t="s">
        <v>850</v>
      </c>
      <c r="F148" s="267">
        <v>12</v>
      </c>
      <c r="G148" s="267" t="s">
        <v>814</v>
      </c>
      <c r="H148" s="267" t="s">
        <v>815</v>
      </c>
      <c r="I148" s="267">
        <v>150</v>
      </c>
      <c r="J148" s="267">
        <v>1800</v>
      </c>
      <c r="K148" s="273">
        <f t="shared" si="2"/>
        <v>216</v>
      </c>
      <c r="L148" s="273">
        <v>1890</v>
      </c>
    </row>
    <row r="149" spans="3:12" ht="16.5">
      <c r="C149" s="272">
        <v>43084</v>
      </c>
      <c r="D149" s="267">
        <v>35</v>
      </c>
      <c r="E149" s="267" t="s">
        <v>851</v>
      </c>
      <c r="F149" s="267">
        <v>6</v>
      </c>
      <c r="G149" s="267" t="s">
        <v>817</v>
      </c>
      <c r="H149" s="267" t="s">
        <v>818</v>
      </c>
      <c r="I149" s="267">
        <v>99</v>
      </c>
      <c r="J149" s="267">
        <v>594</v>
      </c>
      <c r="K149" s="273">
        <f t="shared" si="2"/>
        <v>71.28</v>
      </c>
      <c r="L149" s="273">
        <v>623.70000000000005</v>
      </c>
    </row>
    <row r="150" spans="3:12" ht="16.5">
      <c r="C150" s="272">
        <v>43089</v>
      </c>
      <c r="D150" s="267">
        <v>36</v>
      </c>
      <c r="E150" s="267" t="s">
        <v>852</v>
      </c>
      <c r="F150" s="267">
        <v>10</v>
      </c>
      <c r="G150" s="267" t="s">
        <v>806</v>
      </c>
      <c r="H150" s="267" t="s">
        <v>807</v>
      </c>
      <c r="I150" s="267">
        <v>3200</v>
      </c>
      <c r="J150" s="267">
        <v>32000</v>
      </c>
      <c r="K150" s="273">
        <f t="shared" si="2"/>
        <v>3840</v>
      </c>
      <c r="L150" s="273">
        <v>33600</v>
      </c>
    </row>
    <row r="151" spans="3:12" ht="16.5">
      <c r="C151" s="272">
        <v>43090</v>
      </c>
      <c r="D151" s="267">
        <v>37</v>
      </c>
      <c r="E151" s="267" t="s">
        <v>853</v>
      </c>
      <c r="F151" s="267">
        <v>5</v>
      </c>
      <c r="G151" s="267" t="s">
        <v>821</v>
      </c>
      <c r="H151" s="267" t="s">
        <v>822</v>
      </c>
      <c r="I151" s="267">
        <v>590</v>
      </c>
      <c r="J151" s="267">
        <v>2950</v>
      </c>
      <c r="K151" s="273">
        <f t="shared" si="2"/>
        <v>354</v>
      </c>
      <c r="L151" s="273">
        <v>3097.5</v>
      </c>
    </row>
    <row r="152" spans="3:12" ht="16.5">
      <c r="C152" s="272">
        <v>43092</v>
      </c>
      <c r="D152" s="267">
        <v>38</v>
      </c>
      <c r="E152" s="267" t="s">
        <v>853</v>
      </c>
      <c r="F152" s="267">
        <v>2</v>
      </c>
      <c r="G152" s="267" t="s">
        <v>817</v>
      </c>
      <c r="H152" s="267" t="s">
        <v>824</v>
      </c>
      <c r="I152" s="267">
        <v>99</v>
      </c>
      <c r="J152" s="267">
        <v>198</v>
      </c>
      <c r="K152" s="273">
        <f t="shared" si="2"/>
        <v>23.759999999999998</v>
      </c>
      <c r="L152" s="273">
        <v>207.9</v>
      </c>
    </row>
    <row r="153" spans="3:12" ht="16.5">
      <c r="C153" s="272">
        <v>43095</v>
      </c>
      <c r="D153" s="267">
        <v>39</v>
      </c>
      <c r="E153" s="267" t="s">
        <v>854</v>
      </c>
      <c r="F153" s="267">
        <v>10</v>
      </c>
      <c r="G153" s="267" t="s">
        <v>814</v>
      </c>
      <c r="H153" s="267" t="s">
        <v>826</v>
      </c>
      <c r="I153" s="267">
        <v>150</v>
      </c>
      <c r="J153" s="267">
        <v>1500</v>
      </c>
      <c r="K153" s="273">
        <f t="shared" si="2"/>
        <v>180</v>
      </c>
      <c r="L153" s="273">
        <v>1575</v>
      </c>
    </row>
    <row r="154" spans="3:12" ht="16.5">
      <c r="C154" s="272">
        <v>43099</v>
      </c>
      <c r="D154" s="267">
        <v>40</v>
      </c>
      <c r="E154" s="267" t="s">
        <v>855</v>
      </c>
      <c r="F154" s="267">
        <v>5</v>
      </c>
      <c r="G154" s="267" t="s">
        <v>821</v>
      </c>
      <c r="H154" s="267" t="s">
        <v>824</v>
      </c>
      <c r="I154" s="267">
        <v>590</v>
      </c>
      <c r="J154" s="267">
        <v>2950</v>
      </c>
      <c r="K154" s="273">
        <f t="shared" si="2"/>
        <v>354</v>
      </c>
      <c r="L154" s="273">
        <v>3097.5</v>
      </c>
    </row>
    <row r="155" spans="3:12" ht="16.5">
      <c r="C155" s="272">
        <v>43072</v>
      </c>
      <c r="D155" s="267">
        <v>41</v>
      </c>
      <c r="E155" s="267" t="s">
        <v>856</v>
      </c>
      <c r="F155" s="267">
        <v>25</v>
      </c>
      <c r="G155" s="267" t="s">
        <v>806</v>
      </c>
      <c r="H155" s="267" t="s">
        <v>807</v>
      </c>
      <c r="I155" s="267">
        <v>3200</v>
      </c>
      <c r="J155" s="267">
        <v>80000</v>
      </c>
      <c r="K155" s="273">
        <f t="shared" si="2"/>
        <v>9600</v>
      </c>
      <c r="L155" s="273">
        <v>84000</v>
      </c>
    </row>
    <row r="156" spans="3:12" ht="16.5">
      <c r="C156" s="272">
        <v>43074</v>
      </c>
      <c r="D156" s="267">
        <v>42</v>
      </c>
      <c r="E156" s="267" t="s">
        <v>857</v>
      </c>
      <c r="F156" s="267">
        <v>3</v>
      </c>
      <c r="G156" s="267" t="s">
        <v>809</v>
      </c>
      <c r="H156" s="267" t="s">
        <v>810</v>
      </c>
      <c r="I156" s="267">
        <v>1250</v>
      </c>
      <c r="J156" s="267">
        <v>3750</v>
      </c>
      <c r="K156" s="273">
        <f t="shared" si="2"/>
        <v>450</v>
      </c>
      <c r="L156" s="273">
        <v>3937.5</v>
      </c>
    </row>
    <row r="157" spans="3:12" ht="16.5">
      <c r="C157" s="272">
        <v>43079</v>
      </c>
      <c r="D157" s="267">
        <v>43</v>
      </c>
      <c r="E157" s="267" t="s">
        <v>858</v>
      </c>
      <c r="F157" s="267">
        <v>4</v>
      </c>
      <c r="G157" s="267" t="s">
        <v>809</v>
      </c>
      <c r="H157" s="267" t="s">
        <v>812</v>
      </c>
      <c r="I157" s="267">
        <v>1250</v>
      </c>
      <c r="J157" s="267">
        <v>5000</v>
      </c>
      <c r="K157" s="273">
        <f t="shared" si="2"/>
        <v>600</v>
      </c>
      <c r="L157" s="273">
        <v>5250</v>
      </c>
    </row>
    <row r="158" spans="3:12" ht="16.5">
      <c r="C158" s="272">
        <v>43081</v>
      </c>
      <c r="D158" s="267">
        <v>44</v>
      </c>
      <c r="E158" s="267" t="s">
        <v>859</v>
      </c>
      <c r="F158" s="267">
        <v>12</v>
      </c>
      <c r="G158" s="267" t="s">
        <v>814</v>
      </c>
      <c r="H158" s="267" t="s">
        <v>815</v>
      </c>
      <c r="I158" s="267">
        <v>150</v>
      </c>
      <c r="J158" s="267">
        <v>1800</v>
      </c>
      <c r="K158" s="273">
        <f t="shared" si="2"/>
        <v>216</v>
      </c>
      <c r="L158" s="273">
        <v>1890</v>
      </c>
    </row>
    <row r="159" spans="3:12" ht="16.5">
      <c r="C159" s="272">
        <v>43084</v>
      </c>
      <c r="D159" s="267">
        <v>45</v>
      </c>
      <c r="E159" s="267" t="s">
        <v>860</v>
      </c>
      <c r="F159" s="267">
        <v>6</v>
      </c>
      <c r="G159" s="267" t="s">
        <v>817</v>
      </c>
      <c r="H159" s="267" t="s">
        <v>818</v>
      </c>
      <c r="I159" s="267">
        <v>99</v>
      </c>
      <c r="J159" s="267">
        <v>594</v>
      </c>
      <c r="K159" s="273">
        <f t="shared" si="2"/>
        <v>71.28</v>
      </c>
      <c r="L159" s="273">
        <v>623.70000000000005</v>
      </c>
    </row>
    <row r="160" spans="3:12" ht="16.5">
      <c r="C160" s="272">
        <v>43089</v>
      </c>
      <c r="D160" s="267">
        <v>46</v>
      </c>
      <c r="E160" s="267" t="s">
        <v>861</v>
      </c>
      <c r="F160" s="267">
        <v>10</v>
      </c>
      <c r="G160" s="267" t="s">
        <v>806</v>
      </c>
      <c r="H160" s="267" t="s">
        <v>807</v>
      </c>
      <c r="I160" s="267">
        <v>3200</v>
      </c>
      <c r="J160" s="267">
        <v>32000</v>
      </c>
      <c r="K160" s="273">
        <f t="shared" si="2"/>
        <v>3840</v>
      </c>
      <c r="L160" s="273">
        <v>33600</v>
      </c>
    </row>
    <row r="161" spans="3:12" ht="16.5">
      <c r="C161" s="272">
        <v>43090</v>
      </c>
      <c r="D161" s="267">
        <v>47</v>
      </c>
      <c r="E161" s="267" t="s">
        <v>862</v>
      </c>
      <c r="F161" s="267">
        <v>5</v>
      </c>
      <c r="G161" s="267" t="s">
        <v>821</v>
      </c>
      <c r="H161" s="267" t="s">
        <v>822</v>
      </c>
      <c r="I161" s="267">
        <v>590</v>
      </c>
      <c r="J161" s="267">
        <v>2950</v>
      </c>
      <c r="K161" s="273">
        <f t="shared" si="2"/>
        <v>354</v>
      </c>
      <c r="L161" s="273">
        <v>3097.5</v>
      </c>
    </row>
    <row r="162" spans="3:12" ht="16.5">
      <c r="C162" s="272">
        <v>43092</v>
      </c>
      <c r="D162" s="267">
        <v>48</v>
      </c>
      <c r="E162" s="267" t="s">
        <v>863</v>
      </c>
      <c r="F162" s="267">
        <v>2</v>
      </c>
      <c r="G162" s="267" t="s">
        <v>817</v>
      </c>
      <c r="H162" s="267" t="s">
        <v>824</v>
      </c>
      <c r="I162" s="267">
        <v>99</v>
      </c>
      <c r="J162" s="267">
        <v>198</v>
      </c>
      <c r="K162" s="273">
        <f t="shared" si="2"/>
        <v>23.759999999999998</v>
      </c>
      <c r="L162" s="273">
        <v>207.9</v>
      </c>
    </row>
    <row r="163" spans="3:12" ht="16.5">
      <c r="C163" s="272">
        <v>43095</v>
      </c>
      <c r="D163" s="267">
        <v>49</v>
      </c>
      <c r="E163" s="267" t="s">
        <v>864</v>
      </c>
      <c r="F163" s="267">
        <v>10</v>
      </c>
      <c r="G163" s="267" t="s">
        <v>814</v>
      </c>
      <c r="H163" s="267" t="s">
        <v>826</v>
      </c>
      <c r="I163" s="267">
        <v>150</v>
      </c>
      <c r="J163" s="267">
        <v>1500</v>
      </c>
      <c r="K163" s="273">
        <f t="shared" si="2"/>
        <v>180</v>
      </c>
      <c r="L163" s="273">
        <v>1575</v>
      </c>
    </row>
    <row r="164" spans="3:12" ht="16.5">
      <c r="C164" s="272">
        <v>43099</v>
      </c>
      <c r="D164" s="267">
        <v>50</v>
      </c>
      <c r="E164" s="267" t="s">
        <v>865</v>
      </c>
      <c r="F164" s="267">
        <v>5</v>
      </c>
      <c r="G164" s="267" t="s">
        <v>821</v>
      </c>
      <c r="H164" s="267" t="s">
        <v>824</v>
      </c>
      <c r="I164" s="267">
        <v>590</v>
      </c>
      <c r="J164" s="267">
        <v>2950</v>
      </c>
      <c r="K164" s="273">
        <f t="shared" si="2"/>
        <v>354</v>
      </c>
      <c r="L164" s="273">
        <v>3097.5</v>
      </c>
    </row>
    <row r="165" spans="3:12" ht="16.5">
      <c r="C165" s="272">
        <v>43072</v>
      </c>
      <c r="D165" s="267">
        <v>51</v>
      </c>
      <c r="E165" s="267" t="s">
        <v>866</v>
      </c>
      <c r="F165" s="267">
        <v>3</v>
      </c>
      <c r="G165" s="267" t="s">
        <v>806</v>
      </c>
      <c r="H165" s="267" t="s">
        <v>807</v>
      </c>
      <c r="I165" s="267">
        <v>3200</v>
      </c>
      <c r="J165" s="267">
        <v>9600</v>
      </c>
      <c r="K165" s="273">
        <f t="shared" si="2"/>
        <v>1152</v>
      </c>
      <c r="L165" s="273">
        <v>10080</v>
      </c>
    </row>
    <row r="166" spans="3:12" ht="16.5">
      <c r="C166" s="272">
        <v>43074</v>
      </c>
      <c r="D166" s="267">
        <v>52</v>
      </c>
      <c r="E166" s="267" t="s">
        <v>867</v>
      </c>
      <c r="F166" s="267">
        <v>3</v>
      </c>
      <c r="G166" s="267" t="s">
        <v>809</v>
      </c>
      <c r="H166" s="267" t="s">
        <v>810</v>
      </c>
      <c r="I166" s="267">
        <v>1250</v>
      </c>
      <c r="J166" s="267">
        <v>3750</v>
      </c>
      <c r="K166" s="273">
        <f t="shared" si="2"/>
        <v>450</v>
      </c>
      <c r="L166" s="273">
        <v>3937.5</v>
      </c>
    </row>
    <row r="167" spans="3:12" ht="16.5">
      <c r="C167" s="272">
        <v>43079</v>
      </c>
      <c r="D167" s="267">
        <v>53</v>
      </c>
      <c r="E167" s="267" t="s">
        <v>868</v>
      </c>
      <c r="F167" s="267">
        <v>4</v>
      </c>
      <c r="G167" s="267" t="s">
        <v>809</v>
      </c>
      <c r="H167" s="267" t="s">
        <v>812</v>
      </c>
      <c r="I167" s="267">
        <v>1250</v>
      </c>
      <c r="J167" s="267">
        <v>5000</v>
      </c>
      <c r="K167" s="273">
        <f t="shared" si="2"/>
        <v>600</v>
      </c>
      <c r="L167" s="273">
        <v>5250</v>
      </c>
    </row>
    <row r="168" spans="3:12" ht="16.5">
      <c r="C168" s="272">
        <v>43081</v>
      </c>
      <c r="D168" s="267">
        <v>54</v>
      </c>
      <c r="E168" s="267" t="s">
        <v>869</v>
      </c>
      <c r="F168" s="267">
        <v>12</v>
      </c>
      <c r="G168" s="267" t="s">
        <v>814</v>
      </c>
      <c r="H168" s="267" t="s">
        <v>815</v>
      </c>
      <c r="I168" s="267">
        <v>150</v>
      </c>
      <c r="J168" s="267">
        <v>1800</v>
      </c>
      <c r="K168" s="273">
        <f t="shared" si="2"/>
        <v>216</v>
      </c>
      <c r="L168" s="273">
        <v>1890</v>
      </c>
    </row>
    <row r="169" spans="3:12" ht="16.5">
      <c r="C169" s="272">
        <v>43084</v>
      </c>
      <c r="D169" s="267">
        <v>55</v>
      </c>
      <c r="E169" s="267" t="s">
        <v>870</v>
      </c>
      <c r="F169" s="267">
        <v>6</v>
      </c>
      <c r="G169" s="267" t="s">
        <v>817</v>
      </c>
      <c r="H169" s="267" t="s">
        <v>818</v>
      </c>
      <c r="I169" s="267">
        <v>99</v>
      </c>
      <c r="J169" s="267">
        <v>594</v>
      </c>
      <c r="K169" s="273">
        <f t="shared" si="2"/>
        <v>71.28</v>
      </c>
      <c r="L169" s="273">
        <v>623.70000000000005</v>
      </c>
    </row>
    <row r="170" spans="3:12" ht="16.5">
      <c r="C170" s="272">
        <v>43089</v>
      </c>
      <c r="D170" s="267">
        <v>56</v>
      </c>
      <c r="E170" s="267" t="s">
        <v>871</v>
      </c>
      <c r="F170" s="267">
        <v>10</v>
      </c>
      <c r="G170" s="267" t="s">
        <v>806</v>
      </c>
      <c r="H170" s="267" t="s">
        <v>807</v>
      </c>
      <c r="I170" s="267">
        <v>3200</v>
      </c>
      <c r="J170" s="267">
        <v>32000</v>
      </c>
      <c r="K170" s="273">
        <f t="shared" si="2"/>
        <v>3840</v>
      </c>
      <c r="L170" s="273">
        <v>33600</v>
      </c>
    </row>
    <row r="171" spans="3:12" ht="16.5">
      <c r="C171" s="272">
        <v>43090</v>
      </c>
      <c r="D171" s="267">
        <v>57</v>
      </c>
      <c r="E171" s="267" t="s">
        <v>872</v>
      </c>
      <c r="F171" s="267">
        <v>5</v>
      </c>
      <c r="G171" s="267" t="s">
        <v>821</v>
      </c>
      <c r="H171" s="267" t="s">
        <v>822</v>
      </c>
      <c r="I171" s="267">
        <v>590</v>
      </c>
      <c r="J171" s="267">
        <v>2950</v>
      </c>
      <c r="K171" s="273">
        <f t="shared" si="2"/>
        <v>354</v>
      </c>
      <c r="L171" s="273">
        <v>3097.5</v>
      </c>
    </row>
    <row r="172" spans="3:12" ht="16.5">
      <c r="C172" s="272">
        <v>43092</v>
      </c>
      <c r="D172" s="267">
        <v>58</v>
      </c>
      <c r="E172" s="267" t="s">
        <v>873</v>
      </c>
      <c r="F172" s="267">
        <v>2</v>
      </c>
      <c r="G172" s="267" t="s">
        <v>817</v>
      </c>
      <c r="H172" s="267" t="s">
        <v>824</v>
      </c>
      <c r="I172" s="267">
        <v>99</v>
      </c>
      <c r="J172" s="267">
        <v>198</v>
      </c>
      <c r="K172" s="273">
        <f t="shared" si="2"/>
        <v>23.759999999999998</v>
      </c>
      <c r="L172" s="273">
        <v>207.9</v>
      </c>
    </row>
    <row r="173" spans="3:12" ht="16.5">
      <c r="C173" s="272">
        <v>43095</v>
      </c>
      <c r="D173" s="267">
        <v>59</v>
      </c>
      <c r="E173" s="267" t="s">
        <v>874</v>
      </c>
      <c r="F173" s="267">
        <v>10</v>
      </c>
      <c r="G173" s="267" t="s">
        <v>814</v>
      </c>
      <c r="H173" s="267" t="s">
        <v>826</v>
      </c>
      <c r="I173" s="267">
        <v>150</v>
      </c>
      <c r="J173" s="267">
        <v>1500</v>
      </c>
      <c r="K173" s="273">
        <f t="shared" si="2"/>
        <v>180</v>
      </c>
      <c r="L173" s="273">
        <v>1575</v>
      </c>
    </row>
    <row r="174" spans="3:12" ht="16.5">
      <c r="C174" s="272">
        <v>43099</v>
      </c>
      <c r="D174" s="267">
        <v>60</v>
      </c>
      <c r="E174" s="267" t="s">
        <v>875</v>
      </c>
      <c r="F174" s="267">
        <v>5</v>
      </c>
      <c r="G174" s="267" t="s">
        <v>821</v>
      </c>
      <c r="H174" s="267" t="s">
        <v>824</v>
      </c>
      <c r="I174" s="267">
        <v>590</v>
      </c>
      <c r="J174" s="267">
        <v>2950</v>
      </c>
      <c r="K174" s="273">
        <f t="shared" si="2"/>
        <v>354</v>
      </c>
      <c r="L174" s="273">
        <v>3097.5</v>
      </c>
    </row>
    <row r="175" spans="3:12" ht="16.5">
      <c r="C175" s="272">
        <v>43072</v>
      </c>
      <c r="D175" s="267">
        <v>61</v>
      </c>
      <c r="E175" s="267" t="s">
        <v>876</v>
      </c>
      <c r="F175" s="267">
        <v>5</v>
      </c>
      <c r="G175" s="267" t="s">
        <v>806</v>
      </c>
      <c r="H175" s="267" t="s">
        <v>807</v>
      </c>
      <c r="I175" s="267">
        <v>3200</v>
      </c>
      <c r="J175" s="267">
        <v>16000</v>
      </c>
      <c r="K175" s="273">
        <f t="shared" si="2"/>
        <v>1920</v>
      </c>
      <c r="L175" s="273">
        <v>16800</v>
      </c>
    </row>
    <row r="176" spans="3:12" ht="16.5">
      <c r="C176" s="272">
        <v>43074</v>
      </c>
      <c r="D176" s="267">
        <v>62</v>
      </c>
      <c r="E176" s="267" t="s">
        <v>877</v>
      </c>
      <c r="F176" s="267">
        <v>3</v>
      </c>
      <c r="G176" s="267" t="s">
        <v>809</v>
      </c>
      <c r="H176" s="267" t="s">
        <v>810</v>
      </c>
      <c r="I176" s="267">
        <v>1250</v>
      </c>
      <c r="J176" s="267">
        <v>3750</v>
      </c>
      <c r="K176" s="273">
        <f t="shared" si="2"/>
        <v>450</v>
      </c>
      <c r="L176" s="273">
        <v>3937.5</v>
      </c>
    </row>
    <row r="177" spans="3:12" ht="16.5">
      <c r="C177" s="272">
        <v>43079</v>
      </c>
      <c r="D177" s="267">
        <v>63</v>
      </c>
      <c r="E177" s="267" t="s">
        <v>878</v>
      </c>
      <c r="F177" s="267">
        <v>4</v>
      </c>
      <c r="G177" s="267" t="s">
        <v>809</v>
      </c>
      <c r="H177" s="267" t="s">
        <v>812</v>
      </c>
      <c r="I177" s="267">
        <v>1250</v>
      </c>
      <c r="J177" s="267">
        <v>5000</v>
      </c>
      <c r="K177" s="273">
        <f t="shared" si="2"/>
        <v>600</v>
      </c>
      <c r="L177" s="273">
        <v>5250</v>
      </c>
    </row>
    <row r="178" spans="3:12" ht="16.5">
      <c r="C178" s="272">
        <v>43081</v>
      </c>
      <c r="D178" s="267">
        <v>64</v>
      </c>
      <c r="E178" s="267" t="s">
        <v>879</v>
      </c>
      <c r="F178" s="267">
        <v>12</v>
      </c>
      <c r="G178" s="267" t="s">
        <v>814</v>
      </c>
      <c r="H178" s="267" t="s">
        <v>815</v>
      </c>
      <c r="I178" s="267">
        <v>150</v>
      </c>
      <c r="J178" s="267">
        <v>1800</v>
      </c>
      <c r="K178" s="273">
        <f t="shared" si="2"/>
        <v>216</v>
      </c>
      <c r="L178" s="273">
        <v>1890</v>
      </c>
    </row>
    <row r="179" spans="3:12" ht="16.5">
      <c r="C179" s="272">
        <v>43084</v>
      </c>
      <c r="D179" s="267">
        <v>65</v>
      </c>
      <c r="E179" s="267" t="s">
        <v>880</v>
      </c>
      <c r="F179" s="267">
        <v>6</v>
      </c>
      <c r="G179" s="267" t="s">
        <v>817</v>
      </c>
      <c r="H179" s="267" t="s">
        <v>818</v>
      </c>
      <c r="I179" s="267">
        <v>99</v>
      </c>
      <c r="J179" s="267">
        <v>594</v>
      </c>
      <c r="K179" s="273">
        <f t="shared" si="2"/>
        <v>71.28</v>
      </c>
      <c r="L179" s="273">
        <v>623.70000000000005</v>
      </c>
    </row>
    <row r="180" spans="3:12" ht="16.5">
      <c r="C180" s="272">
        <v>43089</v>
      </c>
      <c r="D180" s="267">
        <v>66</v>
      </c>
      <c r="E180" s="267" t="s">
        <v>881</v>
      </c>
      <c r="F180" s="267">
        <v>10</v>
      </c>
      <c r="G180" s="267" t="s">
        <v>806</v>
      </c>
      <c r="H180" s="267" t="s">
        <v>807</v>
      </c>
      <c r="I180" s="267">
        <v>3200</v>
      </c>
      <c r="J180" s="267">
        <v>32000</v>
      </c>
      <c r="K180" s="273">
        <f t="shared" ref="K180:K194" si="3">J180*$K$113</f>
        <v>3840</v>
      </c>
      <c r="L180" s="273">
        <v>33600</v>
      </c>
    </row>
    <row r="181" spans="3:12" ht="16.5">
      <c r="C181" s="272">
        <v>43090</v>
      </c>
      <c r="D181" s="267">
        <v>67</v>
      </c>
      <c r="E181" s="267" t="s">
        <v>882</v>
      </c>
      <c r="F181" s="267">
        <v>5</v>
      </c>
      <c r="G181" s="267" t="s">
        <v>821</v>
      </c>
      <c r="H181" s="267" t="s">
        <v>822</v>
      </c>
      <c r="I181" s="267">
        <v>590</v>
      </c>
      <c r="J181" s="267">
        <v>2950</v>
      </c>
      <c r="K181" s="273">
        <f t="shared" si="3"/>
        <v>354</v>
      </c>
      <c r="L181" s="273">
        <v>3097.5</v>
      </c>
    </row>
    <row r="182" spans="3:12" ht="16.5">
      <c r="C182" s="272">
        <v>43092</v>
      </c>
      <c r="D182" s="267">
        <v>68</v>
      </c>
      <c r="E182" s="267" t="s">
        <v>883</v>
      </c>
      <c r="F182" s="267">
        <v>2</v>
      </c>
      <c r="G182" s="267" t="s">
        <v>817</v>
      </c>
      <c r="H182" s="267" t="s">
        <v>824</v>
      </c>
      <c r="I182" s="267">
        <v>99</v>
      </c>
      <c r="J182" s="267">
        <v>198</v>
      </c>
      <c r="K182" s="273">
        <f t="shared" si="3"/>
        <v>23.759999999999998</v>
      </c>
      <c r="L182" s="273">
        <v>207.9</v>
      </c>
    </row>
    <row r="183" spans="3:12" ht="16.5">
      <c r="C183" s="272">
        <v>43095</v>
      </c>
      <c r="D183" s="267">
        <v>69</v>
      </c>
      <c r="E183" s="267" t="s">
        <v>884</v>
      </c>
      <c r="F183" s="267">
        <v>10</v>
      </c>
      <c r="G183" s="267" t="s">
        <v>814</v>
      </c>
      <c r="H183" s="267" t="s">
        <v>826</v>
      </c>
      <c r="I183" s="267">
        <v>150</v>
      </c>
      <c r="J183" s="267">
        <v>1500</v>
      </c>
      <c r="K183" s="273">
        <f t="shared" si="3"/>
        <v>180</v>
      </c>
      <c r="L183" s="273">
        <v>1575</v>
      </c>
    </row>
    <row r="184" spans="3:12" ht="16.5">
      <c r="C184" s="272">
        <v>43099</v>
      </c>
      <c r="D184" s="267">
        <v>70</v>
      </c>
      <c r="E184" s="267" t="s">
        <v>885</v>
      </c>
      <c r="F184" s="267">
        <v>5</v>
      </c>
      <c r="G184" s="267" t="s">
        <v>821</v>
      </c>
      <c r="H184" s="267" t="s">
        <v>824</v>
      </c>
      <c r="I184" s="267">
        <v>590</v>
      </c>
      <c r="J184" s="267">
        <v>2950</v>
      </c>
      <c r="K184" s="273">
        <f t="shared" si="3"/>
        <v>354</v>
      </c>
      <c r="L184" s="273">
        <v>3097.5</v>
      </c>
    </row>
    <row r="185" spans="3:12" ht="16.5">
      <c r="C185" s="272">
        <v>43072</v>
      </c>
      <c r="D185" s="267">
        <v>71</v>
      </c>
      <c r="E185" s="267" t="s">
        <v>886</v>
      </c>
      <c r="F185" s="267">
        <v>8</v>
      </c>
      <c r="G185" s="267" t="s">
        <v>806</v>
      </c>
      <c r="H185" s="267" t="s">
        <v>807</v>
      </c>
      <c r="I185" s="267">
        <v>3200</v>
      </c>
      <c r="J185" s="267">
        <v>25600</v>
      </c>
      <c r="K185" s="273">
        <f t="shared" si="3"/>
        <v>3072</v>
      </c>
      <c r="L185" s="273">
        <v>26880</v>
      </c>
    </row>
    <row r="186" spans="3:12" ht="16.5">
      <c r="C186" s="272">
        <v>43074</v>
      </c>
      <c r="D186" s="267">
        <v>72</v>
      </c>
      <c r="E186" s="267" t="s">
        <v>887</v>
      </c>
      <c r="F186" s="267">
        <v>3</v>
      </c>
      <c r="G186" s="267" t="s">
        <v>809</v>
      </c>
      <c r="H186" s="267" t="s">
        <v>810</v>
      </c>
      <c r="I186" s="267">
        <v>1250</v>
      </c>
      <c r="J186" s="267">
        <v>3750</v>
      </c>
      <c r="K186" s="273">
        <f t="shared" si="3"/>
        <v>450</v>
      </c>
      <c r="L186" s="273">
        <v>3937.5</v>
      </c>
    </row>
    <row r="187" spans="3:12" ht="16.5">
      <c r="C187" s="272">
        <v>43079</v>
      </c>
      <c r="D187" s="267">
        <v>73</v>
      </c>
      <c r="E187" s="267" t="s">
        <v>888</v>
      </c>
      <c r="F187" s="267">
        <v>4</v>
      </c>
      <c r="G187" s="267" t="s">
        <v>809</v>
      </c>
      <c r="H187" s="267" t="s">
        <v>812</v>
      </c>
      <c r="I187" s="267">
        <v>1250</v>
      </c>
      <c r="J187" s="267">
        <v>5000</v>
      </c>
      <c r="K187" s="273">
        <f t="shared" si="3"/>
        <v>600</v>
      </c>
      <c r="L187" s="273">
        <v>5250</v>
      </c>
    </row>
    <row r="188" spans="3:12" ht="16.5">
      <c r="C188" s="272">
        <v>43081</v>
      </c>
      <c r="D188" s="267">
        <v>74</v>
      </c>
      <c r="E188" s="267" t="s">
        <v>889</v>
      </c>
      <c r="F188" s="267">
        <v>12</v>
      </c>
      <c r="G188" s="267" t="s">
        <v>814</v>
      </c>
      <c r="H188" s="267" t="s">
        <v>815</v>
      </c>
      <c r="I188" s="267">
        <v>150</v>
      </c>
      <c r="J188" s="267">
        <v>1800</v>
      </c>
      <c r="K188" s="273">
        <f t="shared" si="3"/>
        <v>216</v>
      </c>
      <c r="L188" s="273">
        <v>1890</v>
      </c>
    </row>
    <row r="189" spans="3:12" ht="16.5">
      <c r="C189" s="272">
        <v>43084</v>
      </c>
      <c r="D189" s="267">
        <v>75</v>
      </c>
      <c r="E189" s="267" t="s">
        <v>890</v>
      </c>
      <c r="F189" s="267">
        <v>6</v>
      </c>
      <c r="G189" s="267" t="s">
        <v>817</v>
      </c>
      <c r="H189" s="267" t="s">
        <v>818</v>
      </c>
      <c r="I189" s="267">
        <v>99</v>
      </c>
      <c r="J189" s="267">
        <v>594</v>
      </c>
      <c r="K189" s="273">
        <f t="shared" si="3"/>
        <v>71.28</v>
      </c>
      <c r="L189" s="273">
        <v>623.70000000000005</v>
      </c>
    </row>
    <row r="190" spans="3:12" ht="16.5">
      <c r="C190" s="272">
        <v>43089</v>
      </c>
      <c r="D190" s="267">
        <v>76</v>
      </c>
      <c r="E190" s="267" t="s">
        <v>891</v>
      </c>
      <c r="F190" s="267">
        <v>10</v>
      </c>
      <c r="G190" s="267" t="s">
        <v>806</v>
      </c>
      <c r="H190" s="267" t="s">
        <v>807</v>
      </c>
      <c r="I190" s="267">
        <v>3200</v>
      </c>
      <c r="J190" s="267">
        <v>32000</v>
      </c>
      <c r="K190" s="273">
        <f t="shared" si="3"/>
        <v>3840</v>
      </c>
      <c r="L190" s="273">
        <v>33600</v>
      </c>
    </row>
    <row r="191" spans="3:12" ht="16.5">
      <c r="C191" s="272">
        <v>43090</v>
      </c>
      <c r="D191" s="267">
        <v>77</v>
      </c>
      <c r="E191" s="267" t="s">
        <v>892</v>
      </c>
      <c r="F191" s="267">
        <v>5</v>
      </c>
      <c r="G191" s="267" t="s">
        <v>821</v>
      </c>
      <c r="H191" s="267" t="s">
        <v>822</v>
      </c>
      <c r="I191" s="267">
        <v>590</v>
      </c>
      <c r="J191" s="267">
        <v>2950</v>
      </c>
      <c r="K191" s="273">
        <f t="shared" si="3"/>
        <v>354</v>
      </c>
      <c r="L191" s="273">
        <v>3097.5</v>
      </c>
    </row>
    <row r="192" spans="3:12" ht="16.5">
      <c r="C192" s="272">
        <v>43092</v>
      </c>
      <c r="D192" s="267">
        <v>78</v>
      </c>
      <c r="E192" s="267" t="s">
        <v>893</v>
      </c>
      <c r="F192" s="267">
        <v>2</v>
      </c>
      <c r="G192" s="267" t="s">
        <v>817</v>
      </c>
      <c r="H192" s="267" t="s">
        <v>824</v>
      </c>
      <c r="I192" s="267">
        <v>99</v>
      </c>
      <c r="J192" s="267">
        <v>198</v>
      </c>
      <c r="K192" s="273">
        <f t="shared" si="3"/>
        <v>23.759999999999998</v>
      </c>
      <c r="L192" s="273">
        <v>207.9</v>
      </c>
    </row>
    <row r="193" spans="3:14" ht="16.5">
      <c r="C193" s="272">
        <v>43095</v>
      </c>
      <c r="D193" s="267">
        <v>79</v>
      </c>
      <c r="E193" s="267" t="s">
        <v>894</v>
      </c>
      <c r="F193" s="267">
        <v>10</v>
      </c>
      <c r="G193" s="267" t="s">
        <v>814</v>
      </c>
      <c r="H193" s="267" t="s">
        <v>826</v>
      </c>
      <c r="I193" s="267">
        <v>150</v>
      </c>
      <c r="J193" s="267">
        <v>1500</v>
      </c>
      <c r="K193" s="273">
        <f t="shared" si="3"/>
        <v>180</v>
      </c>
      <c r="L193" s="273">
        <v>1575</v>
      </c>
    </row>
    <row r="194" spans="3:14" ht="16.5">
      <c r="C194" s="272">
        <v>43099</v>
      </c>
      <c r="D194" s="267">
        <v>80</v>
      </c>
      <c r="E194" s="267" t="s">
        <v>895</v>
      </c>
      <c r="F194" s="267">
        <v>5</v>
      </c>
      <c r="G194" s="267" t="s">
        <v>821</v>
      </c>
      <c r="H194" s="267" t="s">
        <v>824</v>
      </c>
      <c r="I194" s="267">
        <v>590</v>
      </c>
      <c r="J194" s="267">
        <v>2950</v>
      </c>
      <c r="K194" s="273">
        <f t="shared" si="3"/>
        <v>354</v>
      </c>
      <c r="L194" s="273">
        <v>3097.5</v>
      </c>
    </row>
    <row r="197" spans="3:14" ht="28.5">
      <c r="D197" s="513" t="s">
        <v>908</v>
      </c>
      <c r="E197" s="513"/>
      <c r="F197" s="513"/>
      <c r="G197" s="513"/>
      <c r="H197" s="513"/>
      <c r="I197" s="513"/>
    </row>
    <row r="198" spans="3:14" ht="15" customHeight="1">
      <c r="D198" s="277"/>
      <c r="E198" s="277"/>
      <c r="F198" s="277"/>
      <c r="G198" s="277"/>
      <c r="H198" s="277"/>
      <c r="I198" s="277"/>
    </row>
    <row r="199" spans="3:14" ht="26.25">
      <c r="C199" s="518" t="s">
        <v>910</v>
      </c>
      <c r="D199" s="518"/>
      <c r="E199" s="518"/>
      <c r="F199" s="518"/>
      <c r="G199" s="518"/>
      <c r="H199" s="518"/>
      <c r="I199" s="518"/>
      <c r="J199" s="518"/>
    </row>
    <row r="200" spans="3:14" ht="15" customHeight="1">
      <c r="C200" s="270"/>
      <c r="D200" s="270"/>
      <c r="E200" s="270"/>
      <c r="F200" s="270"/>
      <c r="G200" s="270"/>
      <c r="H200" s="270"/>
    </row>
    <row r="202" spans="3:14" ht="17.25" thickBot="1">
      <c r="C202" s="514" t="s">
        <v>896</v>
      </c>
      <c r="D202" s="516" t="s">
        <v>897</v>
      </c>
      <c r="E202" s="276">
        <v>0.12</v>
      </c>
      <c r="F202" s="276">
        <v>0.08</v>
      </c>
      <c r="G202" s="276">
        <v>0.15</v>
      </c>
      <c r="H202" s="276">
        <v>0.25</v>
      </c>
      <c r="I202" s="276">
        <v>0.22</v>
      </c>
      <c r="J202" s="276">
        <v>0.18</v>
      </c>
    </row>
    <row r="203" spans="3:14" ht="16.5" thickTop="1" thickBot="1">
      <c r="C203" s="515"/>
      <c r="D203" s="517"/>
      <c r="E203" s="268" t="s">
        <v>317</v>
      </c>
      <c r="F203" s="268" t="s">
        <v>318</v>
      </c>
      <c r="G203" s="268" t="s">
        <v>319</v>
      </c>
      <c r="H203" s="268" t="s">
        <v>320</v>
      </c>
      <c r="I203" s="268" t="s">
        <v>185</v>
      </c>
      <c r="J203" s="268" t="s">
        <v>321</v>
      </c>
    </row>
    <row r="204" spans="3:14" ht="27" thickTop="1">
      <c r="C204" s="266" t="s">
        <v>898</v>
      </c>
      <c r="D204" s="266">
        <v>164506</v>
      </c>
      <c r="E204" s="278">
        <f>D204*E$202</f>
        <v>19740.719999999998</v>
      </c>
      <c r="F204" s="266">
        <f t="shared" ref="F204:J204" si="4">E204*F$202</f>
        <v>1579.2575999999999</v>
      </c>
      <c r="G204" s="266">
        <f t="shared" si="4"/>
        <v>236.88863999999998</v>
      </c>
      <c r="H204" s="266">
        <f t="shared" si="4"/>
        <v>59.222159999999995</v>
      </c>
      <c r="I204" s="266">
        <f t="shared" si="4"/>
        <v>13.0288752</v>
      </c>
      <c r="J204" s="266">
        <f t="shared" si="4"/>
        <v>2.3451975359999997</v>
      </c>
      <c r="N204" s="279" t="str">
        <f ca="1">_xlfn.FORMULATEXT(E204)</f>
        <v>=D204*E$202</v>
      </c>
    </row>
    <row r="205" spans="3:14" ht="16.5">
      <c r="C205" s="266" t="s">
        <v>899</v>
      </c>
      <c r="D205" s="266">
        <v>186343</v>
      </c>
      <c r="E205" s="266">
        <f t="shared" ref="E205:J268" si="5">D205*E$202</f>
        <v>22361.16</v>
      </c>
      <c r="F205" s="266">
        <f t="shared" si="5"/>
        <v>1788.8928000000001</v>
      </c>
      <c r="G205" s="266">
        <f t="shared" si="5"/>
        <v>268.33391999999998</v>
      </c>
      <c r="H205" s="266">
        <f t="shared" si="5"/>
        <v>67.083479999999994</v>
      </c>
      <c r="I205" s="266">
        <f t="shared" si="5"/>
        <v>14.758365599999999</v>
      </c>
      <c r="J205" s="266">
        <f t="shared" si="5"/>
        <v>2.6565058079999999</v>
      </c>
    </row>
    <row r="206" spans="3:14" ht="16.5">
      <c r="C206" s="266" t="s">
        <v>900</v>
      </c>
      <c r="D206" s="266">
        <v>155543</v>
      </c>
      <c r="E206" s="266">
        <f t="shared" si="5"/>
        <v>18665.16</v>
      </c>
      <c r="F206" s="266">
        <f t="shared" si="5"/>
        <v>1493.2128</v>
      </c>
      <c r="G206" s="266">
        <f t="shared" si="5"/>
        <v>223.98192</v>
      </c>
      <c r="H206" s="266">
        <f t="shared" si="5"/>
        <v>55.995480000000001</v>
      </c>
      <c r="I206" s="266">
        <f t="shared" si="5"/>
        <v>12.319005600000001</v>
      </c>
      <c r="J206" s="266">
        <f t="shared" si="5"/>
        <v>2.2174210080000001</v>
      </c>
    </row>
    <row r="207" spans="3:14" ht="16.5">
      <c r="C207" s="266" t="s">
        <v>901</v>
      </c>
      <c r="D207" s="266">
        <v>101719</v>
      </c>
      <c r="E207" s="266">
        <f t="shared" si="5"/>
        <v>12206.279999999999</v>
      </c>
      <c r="F207" s="266">
        <f t="shared" si="5"/>
        <v>976.50239999999997</v>
      </c>
      <c r="G207" s="266">
        <f t="shared" si="5"/>
        <v>146.47535999999999</v>
      </c>
      <c r="H207" s="266">
        <f t="shared" si="5"/>
        <v>36.618839999999999</v>
      </c>
      <c r="I207" s="266">
        <f t="shared" si="5"/>
        <v>8.0561448000000002</v>
      </c>
      <c r="J207" s="266">
        <f t="shared" si="5"/>
        <v>1.4501060640000001</v>
      </c>
    </row>
    <row r="208" spans="3:14" ht="16.5">
      <c r="C208" s="266" t="s">
        <v>902</v>
      </c>
      <c r="D208" s="266">
        <v>192612</v>
      </c>
      <c r="E208" s="266">
        <f t="shared" si="5"/>
        <v>23113.439999999999</v>
      </c>
      <c r="F208" s="266">
        <f t="shared" si="5"/>
        <v>1849.0752</v>
      </c>
      <c r="G208" s="266">
        <f t="shared" si="5"/>
        <v>277.36127999999997</v>
      </c>
      <c r="H208" s="266">
        <f t="shared" si="5"/>
        <v>69.340319999999991</v>
      </c>
      <c r="I208" s="266">
        <f t="shared" si="5"/>
        <v>15.254870399999998</v>
      </c>
      <c r="J208" s="266">
        <f t="shared" si="5"/>
        <v>2.7458766719999996</v>
      </c>
    </row>
    <row r="209" spans="3:10" ht="16.5">
      <c r="C209" s="266" t="s">
        <v>903</v>
      </c>
      <c r="D209" s="266">
        <v>198205</v>
      </c>
      <c r="E209" s="266">
        <f t="shared" si="5"/>
        <v>23784.6</v>
      </c>
      <c r="F209" s="266">
        <f t="shared" si="5"/>
        <v>1902.768</v>
      </c>
      <c r="G209" s="266">
        <f t="shared" si="5"/>
        <v>285.41519999999997</v>
      </c>
      <c r="H209" s="266">
        <f t="shared" si="5"/>
        <v>71.353799999999993</v>
      </c>
      <c r="I209" s="266">
        <f t="shared" si="5"/>
        <v>15.697835999999999</v>
      </c>
      <c r="J209" s="266">
        <f t="shared" si="5"/>
        <v>2.8256104799999995</v>
      </c>
    </row>
    <row r="210" spans="3:10" ht="16.5">
      <c r="C210" s="266" t="s">
        <v>904</v>
      </c>
      <c r="D210" s="266">
        <v>160259</v>
      </c>
      <c r="E210" s="266">
        <f t="shared" si="5"/>
        <v>19231.079999999998</v>
      </c>
      <c r="F210" s="266">
        <f t="shared" si="5"/>
        <v>1538.4863999999998</v>
      </c>
      <c r="G210" s="266">
        <f t="shared" si="5"/>
        <v>230.77295999999996</v>
      </c>
      <c r="H210" s="266">
        <f t="shared" si="5"/>
        <v>57.693239999999989</v>
      </c>
      <c r="I210" s="266">
        <f t="shared" si="5"/>
        <v>12.692512799999998</v>
      </c>
      <c r="J210" s="266">
        <f t="shared" si="5"/>
        <v>2.2846523039999993</v>
      </c>
    </row>
    <row r="211" spans="3:10" ht="16.5">
      <c r="C211" s="266" t="s">
        <v>905</v>
      </c>
      <c r="D211" s="266">
        <v>102034</v>
      </c>
      <c r="E211" s="266">
        <f t="shared" si="5"/>
        <v>12244.08</v>
      </c>
      <c r="F211" s="266">
        <f t="shared" si="5"/>
        <v>979.52639999999997</v>
      </c>
      <c r="G211" s="266">
        <f t="shared" si="5"/>
        <v>146.92895999999999</v>
      </c>
      <c r="H211" s="266">
        <f t="shared" si="5"/>
        <v>36.732239999999997</v>
      </c>
      <c r="I211" s="266">
        <f t="shared" si="5"/>
        <v>8.0810927999999986</v>
      </c>
      <c r="J211" s="266">
        <f t="shared" si="5"/>
        <v>1.4545967039999996</v>
      </c>
    </row>
    <row r="212" spans="3:10" ht="16.5">
      <c r="C212" s="266" t="s">
        <v>906</v>
      </c>
      <c r="D212" s="266">
        <v>167168</v>
      </c>
      <c r="E212" s="266">
        <f t="shared" si="5"/>
        <v>20060.16</v>
      </c>
      <c r="F212" s="266">
        <f t="shared" si="5"/>
        <v>1604.8127999999999</v>
      </c>
      <c r="G212" s="266">
        <f t="shared" si="5"/>
        <v>240.72191999999998</v>
      </c>
      <c r="H212" s="266">
        <f t="shared" si="5"/>
        <v>60.180479999999996</v>
      </c>
      <c r="I212" s="266">
        <f t="shared" si="5"/>
        <v>13.239705599999999</v>
      </c>
      <c r="J212" s="266">
        <f t="shared" si="5"/>
        <v>2.3831470079999999</v>
      </c>
    </row>
    <row r="213" spans="3:10" ht="16.5">
      <c r="C213" s="266" t="s">
        <v>907</v>
      </c>
      <c r="D213" s="266">
        <v>136425</v>
      </c>
      <c r="E213" s="266">
        <f t="shared" si="5"/>
        <v>16371</v>
      </c>
      <c r="F213" s="266">
        <f t="shared" si="5"/>
        <v>1309.68</v>
      </c>
      <c r="G213" s="266">
        <f t="shared" si="5"/>
        <v>196.452</v>
      </c>
      <c r="H213" s="266">
        <f t="shared" si="5"/>
        <v>49.113</v>
      </c>
      <c r="I213" s="266">
        <f t="shared" si="5"/>
        <v>10.80486</v>
      </c>
      <c r="J213" s="266">
        <f t="shared" si="5"/>
        <v>1.9448747999999998</v>
      </c>
    </row>
    <row r="214" spans="3:10" ht="16.5">
      <c r="C214" s="266" t="s">
        <v>898</v>
      </c>
      <c r="D214" s="266">
        <v>105123</v>
      </c>
      <c r="E214" s="266">
        <f t="shared" si="5"/>
        <v>12614.76</v>
      </c>
      <c r="F214" s="266">
        <f t="shared" si="5"/>
        <v>1009.1808000000001</v>
      </c>
      <c r="G214" s="266">
        <f t="shared" si="5"/>
        <v>151.37712000000002</v>
      </c>
      <c r="H214" s="266">
        <f t="shared" si="5"/>
        <v>37.844280000000005</v>
      </c>
      <c r="I214" s="266">
        <f t="shared" si="5"/>
        <v>8.3257416000000006</v>
      </c>
      <c r="J214" s="266">
        <f t="shared" si="5"/>
        <v>1.4986334880000001</v>
      </c>
    </row>
    <row r="215" spans="3:10" ht="16.5">
      <c r="C215" s="266" t="s">
        <v>899</v>
      </c>
      <c r="D215" s="266">
        <v>103627</v>
      </c>
      <c r="E215" s="266">
        <f t="shared" si="5"/>
        <v>12435.24</v>
      </c>
      <c r="F215" s="266">
        <f t="shared" si="5"/>
        <v>994.81920000000002</v>
      </c>
      <c r="G215" s="266">
        <f t="shared" si="5"/>
        <v>149.22288</v>
      </c>
      <c r="H215" s="266">
        <f t="shared" si="5"/>
        <v>37.305720000000001</v>
      </c>
      <c r="I215" s="266">
        <f t="shared" si="5"/>
        <v>8.2072584000000006</v>
      </c>
      <c r="J215" s="266">
        <f t="shared" si="5"/>
        <v>1.477306512</v>
      </c>
    </row>
    <row r="216" spans="3:10" ht="16.5">
      <c r="C216" s="266" t="s">
        <v>900</v>
      </c>
      <c r="D216" s="266">
        <v>135386</v>
      </c>
      <c r="E216" s="266">
        <f t="shared" si="5"/>
        <v>16246.32</v>
      </c>
      <c r="F216" s="266">
        <f t="shared" si="5"/>
        <v>1299.7056</v>
      </c>
      <c r="G216" s="266">
        <f t="shared" si="5"/>
        <v>194.95583999999999</v>
      </c>
      <c r="H216" s="266">
        <f t="shared" si="5"/>
        <v>48.738959999999999</v>
      </c>
      <c r="I216" s="266">
        <f t="shared" si="5"/>
        <v>10.722571199999999</v>
      </c>
      <c r="J216" s="266">
        <f t="shared" si="5"/>
        <v>1.9300628159999997</v>
      </c>
    </row>
    <row r="217" spans="3:10" ht="16.5">
      <c r="C217" s="266" t="s">
        <v>901</v>
      </c>
      <c r="D217" s="266">
        <v>114934</v>
      </c>
      <c r="E217" s="266">
        <f t="shared" si="5"/>
        <v>13792.08</v>
      </c>
      <c r="F217" s="266">
        <f t="shared" si="5"/>
        <v>1103.3664000000001</v>
      </c>
      <c r="G217" s="266">
        <f t="shared" si="5"/>
        <v>165.50496000000001</v>
      </c>
      <c r="H217" s="266">
        <f t="shared" si="5"/>
        <v>41.376240000000003</v>
      </c>
      <c r="I217" s="266">
        <f t="shared" si="5"/>
        <v>9.1027728000000003</v>
      </c>
      <c r="J217" s="266">
        <f t="shared" si="5"/>
        <v>1.6384991040000001</v>
      </c>
    </row>
    <row r="218" spans="3:10" ht="16.5">
      <c r="C218" s="266" t="s">
        <v>902</v>
      </c>
      <c r="D218" s="266">
        <v>142060</v>
      </c>
      <c r="E218" s="266">
        <f t="shared" si="5"/>
        <v>17047.2</v>
      </c>
      <c r="F218" s="266">
        <f t="shared" si="5"/>
        <v>1363.7760000000001</v>
      </c>
      <c r="G218" s="266">
        <f t="shared" si="5"/>
        <v>204.56640000000002</v>
      </c>
      <c r="H218" s="266">
        <f t="shared" si="5"/>
        <v>51.141600000000004</v>
      </c>
      <c r="I218" s="266">
        <f t="shared" si="5"/>
        <v>11.251152000000001</v>
      </c>
      <c r="J218" s="266">
        <f t="shared" si="5"/>
        <v>2.02520736</v>
      </c>
    </row>
    <row r="219" spans="3:10" ht="16.5">
      <c r="C219" s="266" t="s">
        <v>903</v>
      </c>
      <c r="D219" s="266">
        <v>160959</v>
      </c>
      <c r="E219" s="266">
        <f t="shared" si="5"/>
        <v>19315.079999999998</v>
      </c>
      <c r="F219" s="266">
        <f t="shared" si="5"/>
        <v>1545.2063999999998</v>
      </c>
      <c r="G219" s="266">
        <f t="shared" si="5"/>
        <v>231.78095999999996</v>
      </c>
      <c r="H219" s="266">
        <f t="shared" si="5"/>
        <v>57.945239999999991</v>
      </c>
      <c r="I219" s="266">
        <f t="shared" si="5"/>
        <v>12.747952799999998</v>
      </c>
      <c r="J219" s="266">
        <f t="shared" si="5"/>
        <v>2.2946315039999998</v>
      </c>
    </row>
    <row r="220" spans="3:10" ht="16.5">
      <c r="C220" s="266" t="s">
        <v>904</v>
      </c>
      <c r="D220" s="266">
        <v>184337</v>
      </c>
      <c r="E220" s="266">
        <f t="shared" si="5"/>
        <v>22120.44</v>
      </c>
      <c r="F220" s="266">
        <f t="shared" si="5"/>
        <v>1769.6351999999999</v>
      </c>
      <c r="G220" s="266">
        <f t="shared" si="5"/>
        <v>265.44527999999997</v>
      </c>
      <c r="H220" s="266">
        <f t="shared" si="5"/>
        <v>66.361319999999992</v>
      </c>
      <c r="I220" s="266">
        <f t="shared" si="5"/>
        <v>14.599490399999999</v>
      </c>
      <c r="J220" s="266">
        <f t="shared" si="5"/>
        <v>2.6279082719999995</v>
      </c>
    </row>
    <row r="221" spans="3:10" ht="16.5">
      <c r="C221" s="266" t="s">
        <v>905</v>
      </c>
      <c r="D221" s="266">
        <v>183237</v>
      </c>
      <c r="E221" s="266">
        <f t="shared" si="5"/>
        <v>21988.44</v>
      </c>
      <c r="F221" s="266">
        <f t="shared" si="5"/>
        <v>1759.0752</v>
      </c>
      <c r="G221" s="266">
        <f t="shared" si="5"/>
        <v>263.86127999999997</v>
      </c>
      <c r="H221" s="266">
        <f t="shared" si="5"/>
        <v>65.965319999999991</v>
      </c>
      <c r="I221" s="266">
        <f t="shared" si="5"/>
        <v>14.512370399999998</v>
      </c>
      <c r="J221" s="266">
        <f t="shared" si="5"/>
        <v>2.6122266719999998</v>
      </c>
    </row>
    <row r="222" spans="3:10" ht="16.5">
      <c r="C222" s="266" t="s">
        <v>906</v>
      </c>
      <c r="D222" s="266">
        <v>194040</v>
      </c>
      <c r="E222" s="266">
        <f t="shared" si="5"/>
        <v>23284.799999999999</v>
      </c>
      <c r="F222" s="266">
        <f t="shared" si="5"/>
        <v>1862.7839999999999</v>
      </c>
      <c r="G222" s="266">
        <f t="shared" si="5"/>
        <v>279.41759999999999</v>
      </c>
      <c r="H222" s="266">
        <f t="shared" si="5"/>
        <v>69.854399999999998</v>
      </c>
      <c r="I222" s="266">
        <f t="shared" si="5"/>
        <v>15.367967999999999</v>
      </c>
      <c r="J222" s="266">
        <f t="shared" si="5"/>
        <v>2.7662342399999997</v>
      </c>
    </row>
    <row r="223" spans="3:10" ht="16.5">
      <c r="C223" s="266" t="s">
        <v>907</v>
      </c>
      <c r="D223" s="266">
        <v>111377</v>
      </c>
      <c r="E223" s="266">
        <f t="shared" si="5"/>
        <v>13365.24</v>
      </c>
      <c r="F223" s="266">
        <f t="shared" si="5"/>
        <v>1069.2192</v>
      </c>
      <c r="G223" s="266">
        <f t="shared" si="5"/>
        <v>160.38288</v>
      </c>
      <c r="H223" s="266">
        <f t="shared" si="5"/>
        <v>40.09572</v>
      </c>
      <c r="I223" s="266">
        <f t="shared" si="5"/>
        <v>8.8210584000000001</v>
      </c>
      <c r="J223" s="266">
        <f t="shared" si="5"/>
        <v>1.587790512</v>
      </c>
    </row>
    <row r="224" spans="3:10" ht="16.5">
      <c r="C224" s="266" t="s">
        <v>898</v>
      </c>
      <c r="D224" s="266">
        <v>139512</v>
      </c>
      <c r="E224" s="266">
        <f t="shared" si="5"/>
        <v>16741.439999999999</v>
      </c>
      <c r="F224" s="266">
        <f t="shared" si="5"/>
        <v>1339.3152</v>
      </c>
      <c r="G224" s="266">
        <f t="shared" si="5"/>
        <v>200.89727999999999</v>
      </c>
      <c r="H224" s="266">
        <f t="shared" si="5"/>
        <v>50.224319999999999</v>
      </c>
      <c r="I224" s="266">
        <f t="shared" si="5"/>
        <v>11.0493504</v>
      </c>
      <c r="J224" s="266">
        <f t="shared" si="5"/>
        <v>1.9888830719999999</v>
      </c>
    </row>
    <row r="225" spans="3:10" ht="16.5">
      <c r="C225" s="266" t="s">
        <v>899</v>
      </c>
      <c r="D225" s="266">
        <v>126653</v>
      </c>
      <c r="E225" s="266">
        <f t="shared" si="5"/>
        <v>15198.359999999999</v>
      </c>
      <c r="F225" s="266">
        <f t="shared" si="5"/>
        <v>1215.8688</v>
      </c>
      <c r="G225" s="266">
        <f t="shared" si="5"/>
        <v>182.38031999999998</v>
      </c>
      <c r="H225" s="266">
        <f t="shared" si="5"/>
        <v>45.595079999999996</v>
      </c>
      <c r="I225" s="266">
        <f t="shared" si="5"/>
        <v>10.030917599999999</v>
      </c>
      <c r="J225" s="266">
        <f t="shared" si="5"/>
        <v>1.8055651679999998</v>
      </c>
    </row>
    <row r="226" spans="3:10" ht="16.5">
      <c r="C226" s="266" t="s">
        <v>900</v>
      </c>
      <c r="D226" s="266">
        <v>138233</v>
      </c>
      <c r="E226" s="266">
        <f t="shared" si="5"/>
        <v>16587.96</v>
      </c>
      <c r="F226" s="266">
        <f t="shared" si="5"/>
        <v>1327.0367999999999</v>
      </c>
      <c r="G226" s="266">
        <f t="shared" si="5"/>
        <v>199.05551999999997</v>
      </c>
      <c r="H226" s="266">
        <f t="shared" si="5"/>
        <v>49.763879999999993</v>
      </c>
      <c r="I226" s="266">
        <f t="shared" si="5"/>
        <v>10.948053599999998</v>
      </c>
      <c r="J226" s="266">
        <f t="shared" si="5"/>
        <v>1.9706496479999995</v>
      </c>
    </row>
    <row r="227" spans="3:10" ht="16.5">
      <c r="C227" s="266" t="s">
        <v>901</v>
      </c>
      <c r="D227" s="266">
        <v>118987</v>
      </c>
      <c r="E227" s="266">
        <f t="shared" si="5"/>
        <v>14278.439999999999</v>
      </c>
      <c r="F227" s="266">
        <f t="shared" si="5"/>
        <v>1142.2751999999998</v>
      </c>
      <c r="G227" s="266">
        <f t="shared" si="5"/>
        <v>171.34127999999995</v>
      </c>
      <c r="H227" s="266">
        <f t="shared" si="5"/>
        <v>42.835319999999989</v>
      </c>
      <c r="I227" s="266">
        <f t="shared" si="5"/>
        <v>9.4237703999999969</v>
      </c>
      <c r="J227" s="266">
        <f t="shared" si="5"/>
        <v>1.6962786719999994</v>
      </c>
    </row>
    <row r="228" spans="3:10" ht="16.5">
      <c r="C228" s="266" t="s">
        <v>902</v>
      </c>
      <c r="D228" s="266">
        <v>107527</v>
      </c>
      <c r="E228" s="266">
        <f t="shared" si="5"/>
        <v>12903.24</v>
      </c>
      <c r="F228" s="266">
        <f t="shared" si="5"/>
        <v>1032.2592</v>
      </c>
      <c r="G228" s="266">
        <f t="shared" si="5"/>
        <v>154.83887999999999</v>
      </c>
      <c r="H228" s="266">
        <f t="shared" si="5"/>
        <v>38.709719999999997</v>
      </c>
      <c r="I228" s="266">
        <f t="shared" si="5"/>
        <v>8.5161383999999991</v>
      </c>
      <c r="J228" s="266">
        <f t="shared" si="5"/>
        <v>1.5329049119999998</v>
      </c>
    </row>
    <row r="229" spans="3:10" ht="16.5">
      <c r="C229" s="266" t="s">
        <v>903</v>
      </c>
      <c r="D229" s="266">
        <v>154351</v>
      </c>
      <c r="E229" s="266">
        <f t="shared" si="5"/>
        <v>18522.12</v>
      </c>
      <c r="F229" s="266">
        <f t="shared" si="5"/>
        <v>1481.7695999999999</v>
      </c>
      <c r="G229" s="266">
        <f t="shared" si="5"/>
        <v>222.26543999999998</v>
      </c>
      <c r="H229" s="266">
        <f t="shared" si="5"/>
        <v>55.566359999999996</v>
      </c>
      <c r="I229" s="266">
        <f t="shared" si="5"/>
        <v>12.224599199999998</v>
      </c>
      <c r="J229" s="266">
        <f t="shared" si="5"/>
        <v>2.2004278559999997</v>
      </c>
    </row>
    <row r="230" spans="3:10" ht="16.5">
      <c r="C230" s="266" t="s">
        <v>904</v>
      </c>
      <c r="D230" s="266">
        <v>149181</v>
      </c>
      <c r="E230" s="266">
        <f t="shared" si="5"/>
        <v>17901.719999999998</v>
      </c>
      <c r="F230" s="266">
        <f t="shared" si="5"/>
        <v>1432.1375999999998</v>
      </c>
      <c r="G230" s="266">
        <f t="shared" si="5"/>
        <v>214.82063999999997</v>
      </c>
      <c r="H230" s="266">
        <f t="shared" si="5"/>
        <v>53.705159999999992</v>
      </c>
      <c r="I230" s="266">
        <f t="shared" si="5"/>
        <v>11.815135199999999</v>
      </c>
      <c r="J230" s="266">
        <f t="shared" si="5"/>
        <v>2.1267243359999997</v>
      </c>
    </row>
    <row r="231" spans="3:10" ht="16.5">
      <c r="C231" s="266" t="s">
        <v>905</v>
      </c>
      <c r="D231" s="266">
        <v>178276</v>
      </c>
      <c r="E231" s="266">
        <f t="shared" si="5"/>
        <v>21393.119999999999</v>
      </c>
      <c r="F231" s="266">
        <f t="shared" si="5"/>
        <v>1711.4495999999999</v>
      </c>
      <c r="G231" s="266">
        <f t="shared" si="5"/>
        <v>256.71743999999995</v>
      </c>
      <c r="H231" s="266">
        <f t="shared" si="5"/>
        <v>64.179359999999988</v>
      </c>
      <c r="I231" s="266">
        <f t="shared" si="5"/>
        <v>14.119459199999998</v>
      </c>
      <c r="J231" s="266">
        <f t="shared" si="5"/>
        <v>2.5415026559999996</v>
      </c>
    </row>
    <row r="232" spans="3:10" ht="16.5">
      <c r="C232" s="266" t="s">
        <v>906</v>
      </c>
      <c r="D232" s="266">
        <v>118363</v>
      </c>
      <c r="E232" s="266">
        <f t="shared" si="5"/>
        <v>14203.56</v>
      </c>
      <c r="F232" s="266">
        <f t="shared" si="5"/>
        <v>1136.2847999999999</v>
      </c>
      <c r="G232" s="266">
        <f t="shared" si="5"/>
        <v>170.44271999999998</v>
      </c>
      <c r="H232" s="266">
        <f t="shared" si="5"/>
        <v>42.610679999999995</v>
      </c>
      <c r="I232" s="266">
        <f t="shared" si="5"/>
        <v>9.3743495999999986</v>
      </c>
      <c r="J232" s="266">
        <f t="shared" si="5"/>
        <v>1.6873829279999997</v>
      </c>
    </row>
    <row r="233" spans="3:10" ht="16.5">
      <c r="C233" s="266" t="s">
        <v>907</v>
      </c>
      <c r="D233" s="266">
        <v>131477</v>
      </c>
      <c r="E233" s="266">
        <f t="shared" si="5"/>
        <v>15777.24</v>
      </c>
      <c r="F233" s="266">
        <f t="shared" si="5"/>
        <v>1262.1792</v>
      </c>
      <c r="G233" s="266">
        <f t="shared" si="5"/>
        <v>189.32687999999999</v>
      </c>
      <c r="H233" s="266">
        <f t="shared" si="5"/>
        <v>47.331719999999997</v>
      </c>
      <c r="I233" s="266">
        <f t="shared" si="5"/>
        <v>10.4129784</v>
      </c>
      <c r="J233" s="266">
        <f t="shared" si="5"/>
        <v>1.8743361119999999</v>
      </c>
    </row>
    <row r="234" spans="3:10" ht="16.5">
      <c r="C234" s="266" t="s">
        <v>898</v>
      </c>
      <c r="D234" s="266">
        <v>142257</v>
      </c>
      <c r="E234" s="266">
        <f t="shared" si="5"/>
        <v>17070.84</v>
      </c>
      <c r="F234" s="266">
        <f t="shared" si="5"/>
        <v>1365.6672000000001</v>
      </c>
      <c r="G234" s="266">
        <f t="shared" si="5"/>
        <v>204.85008000000002</v>
      </c>
      <c r="H234" s="266">
        <f t="shared" si="5"/>
        <v>51.212520000000005</v>
      </c>
      <c r="I234" s="266">
        <f t="shared" si="5"/>
        <v>11.266754400000002</v>
      </c>
      <c r="J234" s="266">
        <f t="shared" si="5"/>
        <v>2.0280157920000002</v>
      </c>
    </row>
    <row r="235" spans="3:10" ht="16.5">
      <c r="C235" s="266" t="s">
        <v>899</v>
      </c>
      <c r="D235" s="266">
        <v>134646</v>
      </c>
      <c r="E235" s="266">
        <f t="shared" si="5"/>
        <v>16157.519999999999</v>
      </c>
      <c r="F235" s="266">
        <f t="shared" si="5"/>
        <v>1292.6016</v>
      </c>
      <c r="G235" s="266">
        <f t="shared" si="5"/>
        <v>193.89023999999998</v>
      </c>
      <c r="H235" s="266">
        <f t="shared" si="5"/>
        <v>48.472559999999994</v>
      </c>
      <c r="I235" s="266">
        <f t="shared" si="5"/>
        <v>10.6639632</v>
      </c>
      <c r="J235" s="266">
        <f t="shared" si="5"/>
        <v>1.9195133759999998</v>
      </c>
    </row>
    <row r="236" spans="3:10" ht="16.5">
      <c r="C236" s="266" t="s">
        <v>900</v>
      </c>
      <c r="D236" s="266">
        <v>131222</v>
      </c>
      <c r="E236" s="266">
        <f t="shared" si="5"/>
        <v>15746.64</v>
      </c>
      <c r="F236" s="266">
        <f t="shared" si="5"/>
        <v>1259.7311999999999</v>
      </c>
      <c r="G236" s="266">
        <f t="shared" si="5"/>
        <v>188.95967999999999</v>
      </c>
      <c r="H236" s="266">
        <f t="shared" si="5"/>
        <v>47.239919999999998</v>
      </c>
      <c r="I236" s="266">
        <f t="shared" si="5"/>
        <v>10.3927824</v>
      </c>
      <c r="J236" s="266">
        <f t="shared" si="5"/>
        <v>1.8707008319999998</v>
      </c>
    </row>
    <row r="237" spans="3:10" ht="16.5">
      <c r="C237" s="266" t="s">
        <v>901</v>
      </c>
      <c r="D237" s="266">
        <v>141003</v>
      </c>
      <c r="E237" s="266">
        <f t="shared" si="5"/>
        <v>16920.36</v>
      </c>
      <c r="F237" s="266">
        <f t="shared" si="5"/>
        <v>1353.6288000000002</v>
      </c>
      <c r="G237" s="266">
        <f t="shared" si="5"/>
        <v>203.04432000000003</v>
      </c>
      <c r="H237" s="266">
        <f t="shared" si="5"/>
        <v>50.761080000000007</v>
      </c>
      <c r="I237" s="266">
        <f t="shared" si="5"/>
        <v>11.167437600000001</v>
      </c>
      <c r="J237" s="266">
        <f t="shared" si="5"/>
        <v>2.010138768</v>
      </c>
    </row>
    <row r="238" spans="3:10" ht="16.5">
      <c r="C238" s="266" t="s">
        <v>902</v>
      </c>
      <c r="D238" s="266">
        <v>157889</v>
      </c>
      <c r="E238" s="266">
        <f t="shared" si="5"/>
        <v>18946.68</v>
      </c>
      <c r="F238" s="266">
        <f t="shared" si="5"/>
        <v>1515.7344000000001</v>
      </c>
      <c r="G238" s="266">
        <f t="shared" si="5"/>
        <v>227.36016000000001</v>
      </c>
      <c r="H238" s="266">
        <f t="shared" si="5"/>
        <v>56.840040000000002</v>
      </c>
      <c r="I238" s="266">
        <f t="shared" si="5"/>
        <v>12.504808800000001</v>
      </c>
      <c r="J238" s="266">
        <f t="shared" si="5"/>
        <v>2.250865584</v>
      </c>
    </row>
    <row r="239" spans="3:10" ht="16.5">
      <c r="C239" s="266" t="s">
        <v>903</v>
      </c>
      <c r="D239" s="266">
        <v>148490</v>
      </c>
      <c r="E239" s="266">
        <f t="shared" si="5"/>
        <v>17818.8</v>
      </c>
      <c r="F239" s="266">
        <f t="shared" si="5"/>
        <v>1425.5039999999999</v>
      </c>
      <c r="G239" s="266">
        <f t="shared" si="5"/>
        <v>213.82559999999998</v>
      </c>
      <c r="H239" s="266">
        <f t="shared" si="5"/>
        <v>53.456399999999995</v>
      </c>
      <c r="I239" s="266">
        <f t="shared" si="5"/>
        <v>11.760407999999998</v>
      </c>
      <c r="J239" s="266">
        <f t="shared" si="5"/>
        <v>2.1168734399999996</v>
      </c>
    </row>
    <row r="240" spans="3:10" ht="16.5">
      <c r="C240" s="266" t="s">
        <v>904</v>
      </c>
      <c r="D240" s="266">
        <v>138410</v>
      </c>
      <c r="E240" s="266">
        <f t="shared" si="5"/>
        <v>16609.2</v>
      </c>
      <c r="F240" s="266">
        <f t="shared" si="5"/>
        <v>1328.7360000000001</v>
      </c>
      <c r="G240" s="266">
        <f t="shared" si="5"/>
        <v>199.31040000000002</v>
      </c>
      <c r="H240" s="266">
        <f t="shared" si="5"/>
        <v>49.827600000000004</v>
      </c>
      <c r="I240" s="266">
        <f t="shared" si="5"/>
        <v>10.962072000000001</v>
      </c>
      <c r="J240" s="266">
        <f t="shared" si="5"/>
        <v>1.9731729600000001</v>
      </c>
    </row>
    <row r="241" spans="3:10" ht="16.5">
      <c r="C241" s="266" t="s">
        <v>905</v>
      </c>
      <c r="D241" s="266">
        <v>140050</v>
      </c>
      <c r="E241" s="266">
        <f t="shared" si="5"/>
        <v>16806</v>
      </c>
      <c r="F241" s="266">
        <f t="shared" si="5"/>
        <v>1344.48</v>
      </c>
      <c r="G241" s="266">
        <f t="shared" si="5"/>
        <v>201.672</v>
      </c>
      <c r="H241" s="266">
        <f t="shared" si="5"/>
        <v>50.417999999999999</v>
      </c>
      <c r="I241" s="266">
        <f t="shared" si="5"/>
        <v>11.09196</v>
      </c>
      <c r="J241" s="266">
        <f t="shared" si="5"/>
        <v>1.9965527999999999</v>
      </c>
    </row>
    <row r="242" spans="3:10" ht="16.5">
      <c r="C242" s="266" t="s">
        <v>906</v>
      </c>
      <c r="D242" s="266">
        <v>141354</v>
      </c>
      <c r="E242" s="266">
        <f t="shared" si="5"/>
        <v>16962.48</v>
      </c>
      <c r="F242" s="266">
        <f t="shared" si="5"/>
        <v>1356.9983999999999</v>
      </c>
      <c r="G242" s="266">
        <f t="shared" si="5"/>
        <v>203.54975999999999</v>
      </c>
      <c r="H242" s="266">
        <f t="shared" si="5"/>
        <v>50.887439999999998</v>
      </c>
      <c r="I242" s="266">
        <f t="shared" si="5"/>
        <v>11.1952368</v>
      </c>
      <c r="J242" s="266">
        <f t="shared" si="5"/>
        <v>2.0151426240000001</v>
      </c>
    </row>
    <row r="243" spans="3:10" ht="16.5">
      <c r="C243" s="266" t="s">
        <v>907</v>
      </c>
      <c r="D243" s="266">
        <v>143333</v>
      </c>
      <c r="E243" s="266">
        <f t="shared" si="5"/>
        <v>17199.96</v>
      </c>
      <c r="F243" s="266">
        <f t="shared" si="5"/>
        <v>1375.9967999999999</v>
      </c>
      <c r="G243" s="266">
        <f t="shared" ref="F243:J258" si="6">F243*G$202</f>
        <v>206.39951999999997</v>
      </c>
      <c r="H243" s="266">
        <f t="shared" si="6"/>
        <v>51.599879999999992</v>
      </c>
      <c r="I243" s="266">
        <f t="shared" si="6"/>
        <v>11.351973599999999</v>
      </c>
      <c r="J243" s="266">
        <f t="shared" si="6"/>
        <v>2.0433552479999997</v>
      </c>
    </row>
    <row r="244" spans="3:10" ht="16.5">
      <c r="C244" s="266" t="s">
        <v>898</v>
      </c>
      <c r="D244" s="266">
        <v>113682</v>
      </c>
      <c r="E244" s="266">
        <f t="shared" si="5"/>
        <v>13641.84</v>
      </c>
      <c r="F244" s="266">
        <f t="shared" si="6"/>
        <v>1091.3471999999999</v>
      </c>
      <c r="G244" s="266">
        <f t="shared" si="6"/>
        <v>163.70208</v>
      </c>
      <c r="H244" s="266">
        <f t="shared" si="6"/>
        <v>40.925519999999999</v>
      </c>
      <c r="I244" s="266">
        <f t="shared" si="6"/>
        <v>9.0036144</v>
      </c>
      <c r="J244" s="266">
        <f t="shared" si="6"/>
        <v>1.6206505919999998</v>
      </c>
    </row>
    <row r="245" spans="3:10" ht="16.5">
      <c r="C245" s="266" t="s">
        <v>899</v>
      </c>
      <c r="D245" s="266">
        <v>134037</v>
      </c>
      <c r="E245" s="266">
        <f t="shared" si="5"/>
        <v>16084.439999999999</v>
      </c>
      <c r="F245" s="266">
        <f t="shared" si="6"/>
        <v>1286.7551999999998</v>
      </c>
      <c r="G245" s="266">
        <f t="shared" si="6"/>
        <v>193.01327999999998</v>
      </c>
      <c r="H245" s="266">
        <f t="shared" si="6"/>
        <v>48.253319999999995</v>
      </c>
      <c r="I245" s="266">
        <f t="shared" si="6"/>
        <v>10.615730399999999</v>
      </c>
      <c r="J245" s="266">
        <f t="shared" si="6"/>
        <v>1.9108314719999997</v>
      </c>
    </row>
    <row r="246" spans="3:10" ht="16.5">
      <c r="C246" s="266" t="s">
        <v>900</v>
      </c>
      <c r="D246" s="266">
        <v>174818</v>
      </c>
      <c r="E246" s="266">
        <f t="shared" si="5"/>
        <v>20978.16</v>
      </c>
      <c r="F246" s="266">
        <f t="shared" si="6"/>
        <v>1678.2528</v>
      </c>
      <c r="G246" s="266">
        <f t="shared" si="6"/>
        <v>251.73791999999997</v>
      </c>
      <c r="H246" s="266">
        <f t="shared" si="6"/>
        <v>62.934479999999994</v>
      </c>
      <c r="I246" s="266">
        <f t="shared" si="6"/>
        <v>13.845585599999998</v>
      </c>
      <c r="J246" s="266">
        <f t="shared" si="6"/>
        <v>2.4922054079999993</v>
      </c>
    </row>
    <row r="247" spans="3:10" ht="16.5">
      <c r="C247" s="266" t="s">
        <v>901</v>
      </c>
      <c r="D247" s="266">
        <v>149283</v>
      </c>
      <c r="E247" s="266">
        <f t="shared" si="5"/>
        <v>17913.96</v>
      </c>
      <c r="F247" s="266">
        <f t="shared" si="6"/>
        <v>1433.1168</v>
      </c>
      <c r="G247" s="266">
        <f t="shared" si="6"/>
        <v>214.96752000000001</v>
      </c>
      <c r="H247" s="266">
        <f t="shared" si="6"/>
        <v>53.741880000000002</v>
      </c>
      <c r="I247" s="266">
        <f t="shared" si="6"/>
        <v>11.823213600000001</v>
      </c>
      <c r="J247" s="266">
        <f t="shared" si="6"/>
        <v>2.1281784479999999</v>
      </c>
    </row>
    <row r="248" spans="3:10" ht="16.5">
      <c r="C248" s="266" t="s">
        <v>902</v>
      </c>
      <c r="D248" s="266">
        <v>151359</v>
      </c>
      <c r="E248" s="266">
        <f t="shared" si="5"/>
        <v>18163.079999999998</v>
      </c>
      <c r="F248" s="266">
        <f t="shared" si="6"/>
        <v>1453.0463999999999</v>
      </c>
      <c r="G248" s="266">
        <f t="shared" si="6"/>
        <v>217.95695999999998</v>
      </c>
      <c r="H248" s="266">
        <f t="shared" si="6"/>
        <v>54.489239999999995</v>
      </c>
      <c r="I248" s="266">
        <f t="shared" si="6"/>
        <v>11.987632799999998</v>
      </c>
      <c r="J248" s="266">
        <f t="shared" si="6"/>
        <v>2.1577739039999995</v>
      </c>
    </row>
    <row r="249" spans="3:10" ht="16.5">
      <c r="C249" s="266" t="s">
        <v>903</v>
      </c>
      <c r="D249" s="266">
        <v>190571</v>
      </c>
      <c r="E249" s="266">
        <f t="shared" si="5"/>
        <v>22868.52</v>
      </c>
      <c r="F249" s="266">
        <f t="shared" si="6"/>
        <v>1829.4816000000001</v>
      </c>
      <c r="G249" s="266">
        <f t="shared" si="6"/>
        <v>274.42223999999999</v>
      </c>
      <c r="H249" s="266">
        <f t="shared" si="6"/>
        <v>68.605559999999997</v>
      </c>
      <c r="I249" s="266">
        <f t="shared" si="6"/>
        <v>15.093223199999999</v>
      </c>
      <c r="J249" s="266">
        <f t="shared" si="6"/>
        <v>2.7167801759999999</v>
      </c>
    </row>
    <row r="250" spans="3:10" ht="16.5">
      <c r="C250" s="266" t="s">
        <v>904</v>
      </c>
      <c r="D250" s="266">
        <v>102805</v>
      </c>
      <c r="E250" s="266">
        <f t="shared" si="5"/>
        <v>12336.6</v>
      </c>
      <c r="F250" s="266">
        <f t="shared" si="6"/>
        <v>986.928</v>
      </c>
      <c r="G250" s="266">
        <f t="shared" si="6"/>
        <v>148.03919999999999</v>
      </c>
      <c r="H250" s="266">
        <f t="shared" si="6"/>
        <v>37.009799999999998</v>
      </c>
      <c r="I250" s="266">
        <f t="shared" si="6"/>
        <v>8.1421559999999999</v>
      </c>
      <c r="J250" s="266">
        <f t="shared" si="6"/>
        <v>1.4655880799999998</v>
      </c>
    </row>
    <row r="251" spans="3:10" ht="16.5">
      <c r="C251" s="266" t="s">
        <v>905</v>
      </c>
      <c r="D251" s="266">
        <v>105418</v>
      </c>
      <c r="E251" s="266">
        <f t="shared" si="5"/>
        <v>12650.16</v>
      </c>
      <c r="F251" s="266">
        <f t="shared" si="6"/>
        <v>1012.0128</v>
      </c>
      <c r="G251" s="266">
        <f t="shared" si="6"/>
        <v>151.80192</v>
      </c>
      <c r="H251" s="266">
        <f t="shared" si="6"/>
        <v>37.950479999999999</v>
      </c>
      <c r="I251" s="266">
        <f t="shared" si="6"/>
        <v>8.3491055999999997</v>
      </c>
      <c r="J251" s="266">
        <f t="shared" si="6"/>
        <v>1.5028390079999998</v>
      </c>
    </row>
    <row r="252" spans="3:10" ht="16.5">
      <c r="C252" s="266" t="s">
        <v>906</v>
      </c>
      <c r="D252" s="266">
        <v>199939</v>
      </c>
      <c r="E252" s="266">
        <f t="shared" si="5"/>
        <v>23992.68</v>
      </c>
      <c r="F252" s="266">
        <f t="shared" si="6"/>
        <v>1919.4144000000001</v>
      </c>
      <c r="G252" s="266">
        <f t="shared" si="6"/>
        <v>287.91216000000003</v>
      </c>
      <c r="H252" s="266">
        <f t="shared" si="6"/>
        <v>71.978040000000007</v>
      </c>
      <c r="I252" s="266">
        <f t="shared" si="6"/>
        <v>15.835168800000002</v>
      </c>
      <c r="J252" s="266">
        <f t="shared" si="6"/>
        <v>2.8503303840000003</v>
      </c>
    </row>
    <row r="253" spans="3:10" ht="16.5">
      <c r="C253" s="266" t="s">
        <v>907</v>
      </c>
      <c r="D253" s="266">
        <v>107013</v>
      </c>
      <c r="E253" s="266">
        <f t="shared" si="5"/>
        <v>12841.56</v>
      </c>
      <c r="F253" s="266">
        <f t="shared" si="6"/>
        <v>1027.3247999999999</v>
      </c>
      <c r="G253" s="266">
        <f t="shared" si="6"/>
        <v>154.09871999999999</v>
      </c>
      <c r="H253" s="266">
        <f t="shared" si="6"/>
        <v>38.524679999999996</v>
      </c>
      <c r="I253" s="266">
        <f t="shared" si="6"/>
        <v>8.4754296</v>
      </c>
      <c r="J253" s="266">
        <f t="shared" si="6"/>
        <v>1.525577328</v>
      </c>
    </row>
    <row r="254" spans="3:10" ht="16.5">
      <c r="C254" s="266" t="s">
        <v>898</v>
      </c>
      <c r="D254" s="266">
        <v>118506</v>
      </c>
      <c r="E254" s="266">
        <f t="shared" si="5"/>
        <v>14220.72</v>
      </c>
      <c r="F254" s="266">
        <f t="shared" si="6"/>
        <v>1137.6576</v>
      </c>
      <c r="G254" s="266">
        <f t="shared" si="6"/>
        <v>170.64864</v>
      </c>
      <c r="H254" s="266">
        <f t="shared" si="6"/>
        <v>42.66216</v>
      </c>
      <c r="I254" s="266">
        <f t="shared" si="6"/>
        <v>9.3856751999999997</v>
      </c>
      <c r="J254" s="266">
        <f t="shared" si="6"/>
        <v>1.6894215359999998</v>
      </c>
    </row>
    <row r="255" spans="3:10" ht="16.5">
      <c r="C255" s="266" t="s">
        <v>899</v>
      </c>
      <c r="D255" s="266">
        <v>185199</v>
      </c>
      <c r="E255" s="266">
        <f t="shared" si="5"/>
        <v>22223.879999999997</v>
      </c>
      <c r="F255" s="266">
        <f t="shared" si="6"/>
        <v>1777.9103999999998</v>
      </c>
      <c r="G255" s="266">
        <f t="shared" si="6"/>
        <v>266.68655999999993</v>
      </c>
      <c r="H255" s="266">
        <f t="shared" si="6"/>
        <v>66.671639999999982</v>
      </c>
      <c r="I255" s="266">
        <f t="shared" si="6"/>
        <v>14.667760799999996</v>
      </c>
      <c r="J255" s="266">
        <f t="shared" si="6"/>
        <v>2.640196943999999</v>
      </c>
    </row>
    <row r="256" spans="3:10" ht="16.5">
      <c r="C256" s="266" t="s">
        <v>900</v>
      </c>
      <c r="D256" s="266">
        <v>114961</v>
      </c>
      <c r="E256" s="266">
        <f t="shared" si="5"/>
        <v>13795.32</v>
      </c>
      <c r="F256" s="266">
        <f t="shared" si="6"/>
        <v>1103.6256000000001</v>
      </c>
      <c r="G256" s="266">
        <f t="shared" si="6"/>
        <v>165.54384000000002</v>
      </c>
      <c r="H256" s="266">
        <f t="shared" si="6"/>
        <v>41.385960000000004</v>
      </c>
      <c r="I256" s="266">
        <f t="shared" si="6"/>
        <v>9.1049112000000019</v>
      </c>
      <c r="J256" s="266">
        <f t="shared" si="6"/>
        <v>1.6388840160000002</v>
      </c>
    </row>
    <row r="257" spans="3:10" ht="16.5">
      <c r="C257" s="266" t="s">
        <v>901</v>
      </c>
      <c r="D257" s="266">
        <v>131029</v>
      </c>
      <c r="E257" s="266">
        <f t="shared" si="5"/>
        <v>15723.48</v>
      </c>
      <c r="F257" s="266">
        <f t="shared" si="6"/>
        <v>1257.8784000000001</v>
      </c>
      <c r="G257" s="266">
        <f t="shared" si="6"/>
        <v>188.68176</v>
      </c>
      <c r="H257" s="266">
        <f t="shared" si="6"/>
        <v>47.170439999999999</v>
      </c>
      <c r="I257" s="266">
        <f t="shared" si="6"/>
        <v>10.377496799999999</v>
      </c>
      <c r="J257" s="266">
        <f t="shared" si="6"/>
        <v>1.8679494239999999</v>
      </c>
    </row>
    <row r="258" spans="3:10" ht="16.5">
      <c r="C258" s="266" t="s">
        <v>902</v>
      </c>
      <c r="D258" s="266">
        <v>146620</v>
      </c>
      <c r="E258" s="266">
        <f t="shared" si="5"/>
        <v>17594.399999999998</v>
      </c>
      <c r="F258" s="266">
        <f t="shared" si="6"/>
        <v>1407.5519999999999</v>
      </c>
      <c r="G258" s="266">
        <f t="shared" si="6"/>
        <v>211.13279999999997</v>
      </c>
      <c r="H258" s="266">
        <f t="shared" si="6"/>
        <v>52.783199999999994</v>
      </c>
      <c r="I258" s="266">
        <f t="shared" si="6"/>
        <v>11.612303999999998</v>
      </c>
      <c r="J258" s="266">
        <f t="shared" si="6"/>
        <v>2.0902147199999996</v>
      </c>
    </row>
    <row r="259" spans="3:10" ht="16.5">
      <c r="C259" s="266" t="s">
        <v>903</v>
      </c>
      <c r="D259" s="266">
        <v>185327</v>
      </c>
      <c r="E259" s="266">
        <f t="shared" si="5"/>
        <v>22239.239999999998</v>
      </c>
      <c r="F259" s="266">
        <f t="shared" ref="F259:J268" si="7">E259*F$202</f>
        <v>1779.1391999999998</v>
      </c>
      <c r="G259" s="266">
        <f t="shared" si="7"/>
        <v>266.87087999999994</v>
      </c>
      <c r="H259" s="266">
        <f t="shared" si="7"/>
        <v>66.717719999999986</v>
      </c>
      <c r="I259" s="266">
        <f t="shared" si="7"/>
        <v>14.677898399999997</v>
      </c>
      <c r="J259" s="266">
        <f t="shared" si="7"/>
        <v>2.6420217119999991</v>
      </c>
    </row>
    <row r="260" spans="3:10" ht="16.5">
      <c r="C260" s="266" t="s">
        <v>904</v>
      </c>
      <c r="D260" s="266">
        <v>182312</v>
      </c>
      <c r="E260" s="266">
        <f t="shared" si="5"/>
        <v>21877.439999999999</v>
      </c>
      <c r="F260" s="266">
        <f t="shared" si="7"/>
        <v>1750.1951999999999</v>
      </c>
      <c r="G260" s="266">
        <f t="shared" si="7"/>
        <v>262.52927999999997</v>
      </c>
      <c r="H260" s="266">
        <f t="shared" si="7"/>
        <v>65.632319999999993</v>
      </c>
      <c r="I260" s="266">
        <f t="shared" si="7"/>
        <v>14.439110399999999</v>
      </c>
      <c r="J260" s="266">
        <f t="shared" si="7"/>
        <v>2.5990398719999996</v>
      </c>
    </row>
    <row r="261" spans="3:10" ht="16.5">
      <c r="C261" s="266" t="s">
        <v>905</v>
      </c>
      <c r="D261" s="266">
        <v>106916</v>
      </c>
      <c r="E261" s="266">
        <f t="shared" si="5"/>
        <v>12829.92</v>
      </c>
      <c r="F261" s="266">
        <f t="shared" si="7"/>
        <v>1026.3936000000001</v>
      </c>
      <c r="G261" s="266">
        <f t="shared" si="7"/>
        <v>153.95904000000002</v>
      </c>
      <c r="H261" s="266">
        <f t="shared" si="7"/>
        <v>38.489760000000004</v>
      </c>
      <c r="I261" s="266">
        <f t="shared" si="7"/>
        <v>8.4677472000000016</v>
      </c>
      <c r="J261" s="266">
        <f t="shared" si="7"/>
        <v>1.5241944960000002</v>
      </c>
    </row>
    <row r="262" spans="3:10" ht="16.5">
      <c r="C262" s="266" t="s">
        <v>906</v>
      </c>
      <c r="D262" s="266">
        <v>196375</v>
      </c>
      <c r="E262" s="266">
        <f t="shared" si="5"/>
        <v>23565</v>
      </c>
      <c r="F262" s="266">
        <f t="shared" si="7"/>
        <v>1885.2</v>
      </c>
      <c r="G262" s="266">
        <f t="shared" si="7"/>
        <v>282.77999999999997</v>
      </c>
      <c r="H262" s="266">
        <f t="shared" si="7"/>
        <v>70.694999999999993</v>
      </c>
      <c r="I262" s="266">
        <f t="shared" si="7"/>
        <v>15.552899999999999</v>
      </c>
      <c r="J262" s="266">
        <f t="shared" si="7"/>
        <v>2.7995219999999996</v>
      </c>
    </row>
    <row r="263" spans="3:10" ht="16.5">
      <c r="C263" s="266" t="s">
        <v>907</v>
      </c>
      <c r="D263" s="266">
        <v>114909</v>
      </c>
      <c r="E263" s="266">
        <f t="shared" si="5"/>
        <v>13789.08</v>
      </c>
      <c r="F263" s="266">
        <f t="shared" si="7"/>
        <v>1103.1264000000001</v>
      </c>
      <c r="G263" s="266">
        <f t="shared" si="7"/>
        <v>165.46896000000001</v>
      </c>
      <c r="H263" s="266">
        <f t="shared" si="7"/>
        <v>41.367240000000002</v>
      </c>
      <c r="I263" s="266">
        <f t="shared" si="7"/>
        <v>9.1007928000000007</v>
      </c>
      <c r="J263" s="266">
        <f t="shared" si="7"/>
        <v>1.6381427040000001</v>
      </c>
    </row>
    <row r="264" spans="3:10" ht="16.5">
      <c r="C264" s="266" t="s">
        <v>898</v>
      </c>
      <c r="D264" s="266">
        <v>176011</v>
      </c>
      <c r="E264" s="266">
        <f t="shared" si="5"/>
        <v>21121.32</v>
      </c>
      <c r="F264" s="266">
        <f t="shared" si="7"/>
        <v>1689.7056</v>
      </c>
      <c r="G264" s="266">
        <f t="shared" si="7"/>
        <v>253.45583999999999</v>
      </c>
      <c r="H264" s="266">
        <f t="shared" si="7"/>
        <v>63.363959999999999</v>
      </c>
      <c r="I264" s="266">
        <f t="shared" si="7"/>
        <v>13.9400712</v>
      </c>
      <c r="J264" s="266">
        <f t="shared" si="7"/>
        <v>2.5092128159999998</v>
      </c>
    </row>
    <row r="265" spans="3:10" ht="16.5">
      <c r="C265" s="266" t="s">
        <v>899</v>
      </c>
      <c r="D265" s="266">
        <v>106949</v>
      </c>
      <c r="E265" s="266">
        <f t="shared" si="5"/>
        <v>12833.88</v>
      </c>
      <c r="F265" s="266">
        <f t="shared" si="7"/>
        <v>1026.7103999999999</v>
      </c>
      <c r="G265" s="266">
        <f t="shared" si="7"/>
        <v>154.00655999999998</v>
      </c>
      <c r="H265" s="266">
        <f t="shared" si="7"/>
        <v>38.501639999999995</v>
      </c>
      <c r="I265" s="266">
        <f t="shared" si="7"/>
        <v>8.4703607999999981</v>
      </c>
      <c r="J265" s="266">
        <f t="shared" si="7"/>
        <v>1.5246649439999995</v>
      </c>
    </row>
    <row r="266" spans="3:10" ht="16.5">
      <c r="C266" s="266" t="s">
        <v>900</v>
      </c>
      <c r="D266" s="266">
        <v>129636</v>
      </c>
      <c r="E266" s="266">
        <f t="shared" si="5"/>
        <v>15556.32</v>
      </c>
      <c r="F266" s="266">
        <f t="shared" si="7"/>
        <v>1244.5056</v>
      </c>
      <c r="G266" s="266">
        <f t="shared" si="7"/>
        <v>186.67583999999999</v>
      </c>
      <c r="H266" s="266">
        <f t="shared" si="7"/>
        <v>46.668959999999998</v>
      </c>
      <c r="I266" s="266">
        <f t="shared" si="7"/>
        <v>10.2671712</v>
      </c>
      <c r="J266" s="266">
        <f t="shared" si="7"/>
        <v>1.848090816</v>
      </c>
    </row>
    <row r="267" spans="3:10" ht="16.5">
      <c r="C267" s="266" t="s">
        <v>901</v>
      </c>
      <c r="D267" s="266">
        <v>195668</v>
      </c>
      <c r="E267" s="266">
        <f t="shared" si="5"/>
        <v>23480.16</v>
      </c>
      <c r="F267" s="266">
        <f t="shared" si="7"/>
        <v>1878.4128000000001</v>
      </c>
      <c r="G267" s="266">
        <f t="shared" si="7"/>
        <v>281.76191999999998</v>
      </c>
      <c r="H267" s="266">
        <f t="shared" si="7"/>
        <v>70.440479999999994</v>
      </c>
      <c r="I267" s="266">
        <f t="shared" si="7"/>
        <v>15.496905599999998</v>
      </c>
      <c r="J267" s="266">
        <f t="shared" si="7"/>
        <v>2.7894430079999997</v>
      </c>
    </row>
    <row r="268" spans="3:10" ht="16.5">
      <c r="C268" s="266" t="s">
        <v>902</v>
      </c>
      <c r="D268" s="266">
        <v>168664</v>
      </c>
      <c r="E268" s="266">
        <f t="shared" si="5"/>
        <v>20239.68</v>
      </c>
      <c r="F268" s="266">
        <f t="shared" si="7"/>
        <v>1619.1744000000001</v>
      </c>
      <c r="G268" s="266">
        <f t="shared" si="7"/>
        <v>242.87616</v>
      </c>
      <c r="H268" s="266">
        <f t="shared" si="7"/>
        <v>60.71904</v>
      </c>
      <c r="I268" s="266">
        <f t="shared" si="7"/>
        <v>13.358188800000001</v>
      </c>
      <c r="J268" s="266">
        <f t="shared" si="7"/>
        <v>2.404473984</v>
      </c>
    </row>
    <row r="269" spans="3:10" ht="16.5">
      <c r="C269" s="266" t="s">
        <v>903</v>
      </c>
      <c r="D269" s="266">
        <v>197422</v>
      </c>
      <c r="E269" s="266">
        <f t="shared" ref="E269:J297" si="8">D269*E$202</f>
        <v>23690.639999999999</v>
      </c>
      <c r="F269" s="266">
        <f t="shared" si="8"/>
        <v>1895.2511999999999</v>
      </c>
      <c r="G269" s="266">
        <f t="shared" si="8"/>
        <v>284.28767999999997</v>
      </c>
      <c r="H269" s="266">
        <f t="shared" si="8"/>
        <v>71.071919999999992</v>
      </c>
      <c r="I269" s="266">
        <f t="shared" si="8"/>
        <v>15.635822399999999</v>
      </c>
      <c r="J269" s="266">
        <f t="shared" si="8"/>
        <v>2.8144480319999996</v>
      </c>
    </row>
    <row r="270" spans="3:10" ht="16.5">
      <c r="C270" s="266" t="s">
        <v>904</v>
      </c>
      <c r="D270" s="266">
        <v>107315</v>
      </c>
      <c r="E270" s="266">
        <f t="shared" si="8"/>
        <v>12877.8</v>
      </c>
      <c r="F270" s="266">
        <f t="shared" si="8"/>
        <v>1030.2239999999999</v>
      </c>
      <c r="G270" s="266">
        <f t="shared" si="8"/>
        <v>154.53359999999998</v>
      </c>
      <c r="H270" s="266">
        <f t="shared" si="8"/>
        <v>38.633399999999995</v>
      </c>
      <c r="I270" s="266">
        <f t="shared" si="8"/>
        <v>8.4993479999999995</v>
      </c>
      <c r="J270" s="266">
        <f t="shared" si="8"/>
        <v>1.5298826399999998</v>
      </c>
    </row>
    <row r="271" spans="3:10" ht="16.5">
      <c r="C271" s="266" t="s">
        <v>905</v>
      </c>
      <c r="D271" s="266">
        <v>157633</v>
      </c>
      <c r="E271" s="266">
        <f t="shared" si="8"/>
        <v>18915.96</v>
      </c>
      <c r="F271" s="266">
        <f t="shared" si="8"/>
        <v>1513.2767999999999</v>
      </c>
      <c r="G271" s="266">
        <f t="shared" si="8"/>
        <v>226.99151999999998</v>
      </c>
      <c r="H271" s="266">
        <f t="shared" si="8"/>
        <v>56.747879999999995</v>
      </c>
      <c r="I271" s="266">
        <f t="shared" si="8"/>
        <v>12.484533599999999</v>
      </c>
      <c r="J271" s="266">
        <f t="shared" si="8"/>
        <v>2.2472160479999999</v>
      </c>
    </row>
    <row r="272" spans="3:10" ht="16.5">
      <c r="C272" s="266" t="s">
        <v>906</v>
      </c>
      <c r="D272" s="266">
        <v>195513</v>
      </c>
      <c r="E272" s="266">
        <f t="shared" si="8"/>
        <v>23461.559999999998</v>
      </c>
      <c r="F272" s="266">
        <f t="shared" si="8"/>
        <v>1876.9247999999998</v>
      </c>
      <c r="G272" s="266">
        <f t="shared" si="8"/>
        <v>281.53871999999996</v>
      </c>
      <c r="H272" s="266">
        <f t="shared" si="8"/>
        <v>70.384679999999989</v>
      </c>
      <c r="I272" s="266">
        <f t="shared" si="8"/>
        <v>15.484629599999998</v>
      </c>
      <c r="J272" s="266">
        <f t="shared" si="8"/>
        <v>2.7872333279999997</v>
      </c>
    </row>
    <row r="273" spans="3:10" ht="16.5">
      <c r="C273" s="266" t="s">
        <v>907</v>
      </c>
      <c r="D273" s="266">
        <v>103593</v>
      </c>
      <c r="E273" s="266">
        <f t="shared" si="8"/>
        <v>12431.16</v>
      </c>
      <c r="F273" s="266">
        <f t="shared" si="8"/>
        <v>994.49279999999999</v>
      </c>
      <c r="G273" s="266">
        <f t="shared" si="8"/>
        <v>149.17391999999998</v>
      </c>
      <c r="H273" s="266">
        <f t="shared" si="8"/>
        <v>37.293479999999995</v>
      </c>
      <c r="I273" s="266">
        <f t="shared" si="8"/>
        <v>8.2045655999999987</v>
      </c>
      <c r="J273" s="266">
        <f t="shared" si="8"/>
        <v>1.4768218079999997</v>
      </c>
    </row>
    <row r="274" spans="3:10" ht="16.5">
      <c r="C274" s="266" t="s">
        <v>898</v>
      </c>
      <c r="D274" s="266">
        <v>176518</v>
      </c>
      <c r="E274" s="266">
        <f t="shared" si="8"/>
        <v>21182.16</v>
      </c>
      <c r="F274" s="266">
        <f t="shared" si="8"/>
        <v>1694.5727999999999</v>
      </c>
      <c r="G274" s="266">
        <f t="shared" si="8"/>
        <v>254.18591999999998</v>
      </c>
      <c r="H274" s="266">
        <f t="shared" si="8"/>
        <v>63.546479999999995</v>
      </c>
      <c r="I274" s="266">
        <f t="shared" si="8"/>
        <v>13.980225599999999</v>
      </c>
      <c r="J274" s="266">
        <f t="shared" si="8"/>
        <v>2.5164406079999999</v>
      </c>
    </row>
    <row r="275" spans="3:10" ht="16.5">
      <c r="C275" s="266" t="s">
        <v>899</v>
      </c>
      <c r="D275" s="266">
        <v>135041</v>
      </c>
      <c r="E275" s="266">
        <f t="shared" si="8"/>
        <v>16204.92</v>
      </c>
      <c r="F275" s="266">
        <f t="shared" si="8"/>
        <v>1296.3936000000001</v>
      </c>
      <c r="G275" s="266">
        <f t="shared" si="8"/>
        <v>194.45904000000002</v>
      </c>
      <c r="H275" s="266">
        <f t="shared" si="8"/>
        <v>48.614760000000004</v>
      </c>
      <c r="I275" s="266">
        <f t="shared" si="8"/>
        <v>10.695247200000001</v>
      </c>
      <c r="J275" s="266">
        <f t="shared" si="8"/>
        <v>1.9251444960000001</v>
      </c>
    </row>
    <row r="276" spans="3:10" ht="16.5">
      <c r="C276" s="266" t="s">
        <v>900</v>
      </c>
      <c r="D276" s="266">
        <v>131005</v>
      </c>
      <c r="E276" s="266">
        <f t="shared" si="8"/>
        <v>15720.599999999999</v>
      </c>
      <c r="F276" s="266">
        <f t="shared" si="8"/>
        <v>1257.6479999999999</v>
      </c>
      <c r="G276" s="266">
        <f t="shared" si="8"/>
        <v>188.64719999999997</v>
      </c>
      <c r="H276" s="266">
        <f t="shared" si="8"/>
        <v>47.161799999999992</v>
      </c>
      <c r="I276" s="266">
        <f t="shared" si="8"/>
        <v>10.375595999999998</v>
      </c>
      <c r="J276" s="266">
        <f t="shared" si="8"/>
        <v>1.8676072799999996</v>
      </c>
    </row>
    <row r="277" spans="3:10" ht="16.5">
      <c r="C277" s="266" t="s">
        <v>901</v>
      </c>
      <c r="D277" s="266">
        <v>145782</v>
      </c>
      <c r="E277" s="266">
        <f t="shared" si="8"/>
        <v>17493.84</v>
      </c>
      <c r="F277" s="266">
        <f t="shared" si="8"/>
        <v>1399.5072</v>
      </c>
      <c r="G277" s="266">
        <f t="shared" si="8"/>
        <v>209.92607999999998</v>
      </c>
      <c r="H277" s="266">
        <f t="shared" si="8"/>
        <v>52.481519999999996</v>
      </c>
      <c r="I277" s="266">
        <f t="shared" si="8"/>
        <v>11.545934399999998</v>
      </c>
      <c r="J277" s="266">
        <f t="shared" si="8"/>
        <v>2.0782681919999995</v>
      </c>
    </row>
    <row r="278" spans="3:10" ht="16.5">
      <c r="C278" s="266" t="s">
        <v>902</v>
      </c>
      <c r="D278" s="266">
        <v>138861</v>
      </c>
      <c r="E278" s="266">
        <f t="shared" si="8"/>
        <v>16663.32</v>
      </c>
      <c r="F278" s="266">
        <f t="shared" si="8"/>
        <v>1333.0655999999999</v>
      </c>
      <c r="G278" s="266">
        <f t="shared" si="8"/>
        <v>199.95983999999999</v>
      </c>
      <c r="H278" s="266">
        <f t="shared" si="8"/>
        <v>49.989959999999996</v>
      </c>
      <c r="I278" s="266">
        <f t="shared" si="8"/>
        <v>10.9977912</v>
      </c>
      <c r="J278" s="266">
        <f t="shared" si="8"/>
        <v>1.9796024159999999</v>
      </c>
    </row>
    <row r="279" spans="3:10" ht="16.5">
      <c r="C279" s="266" t="s">
        <v>903</v>
      </c>
      <c r="D279" s="266">
        <v>180015</v>
      </c>
      <c r="E279" s="266">
        <f t="shared" si="8"/>
        <v>21601.8</v>
      </c>
      <c r="F279" s="266">
        <f t="shared" si="8"/>
        <v>1728.144</v>
      </c>
      <c r="G279" s="266">
        <f t="shared" si="8"/>
        <v>259.22159999999997</v>
      </c>
      <c r="H279" s="266">
        <f t="shared" si="8"/>
        <v>64.805399999999992</v>
      </c>
      <c r="I279" s="266">
        <f t="shared" si="8"/>
        <v>14.257187999999998</v>
      </c>
      <c r="J279" s="266">
        <f t="shared" si="8"/>
        <v>2.5662938399999993</v>
      </c>
    </row>
    <row r="280" spans="3:10" ht="16.5">
      <c r="C280" s="266" t="s">
        <v>904</v>
      </c>
      <c r="D280" s="266">
        <v>112589</v>
      </c>
      <c r="E280" s="266">
        <f t="shared" si="8"/>
        <v>13510.68</v>
      </c>
      <c r="F280" s="266">
        <f t="shared" si="8"/>
        <v>1080.8543999999999</v>
      </c>
      <c r="G280" s="266">
        <f t="shared" si="8"/>
        <v>162.12815999999998</v>
      </c>
      <c r="H280" s="266">
        <f t="shared" si="8"/>
        <v>40.532039999999995</v>
      </c>
      <c r="I280" s="266">
        <f t="shared" si="8"/>
        <v>8.9170487999999981</v>
      </c>
      <c r="J280" s="266">
        <f t="shared" si="8"/>
        <v>1.6050687839999995</v>
      </c>
    </row>
    <row r="281" spans="3:10" ht="16.5">
      <c r="C281" s="266" t="s">
        <v>905</v>
      </c>
      <c r="D281" s="266">
        <v>199809</v>
      </c>
      <c r="E281" s="266">
        <f t="shared" si="8"/>
        <v>23977.079999999998</v>
      </c>
      <c r="F281" s="266">
        <f t="shared" si="8"/>
        <v>1918.1663999999998</v>
      </c>
      <c r="G281" s="266">
        <f t="shared" si="8"/>
        <v>287.72495999999995</v>
      </c>
      <c r="H281" s="266">
        <f t="shared" si="8"/>
        <v>71.931239999999988</v>
      </c>
      <c r="I281" s="266">
        <f t="shared" si="8"/>
        <v>15.824872799999998</v>
      </c>
      <c r="J281" s="266">
        <f t="shared" si="8"/>
        <v>2.8484771039999996</v>
      </c>
    </row>
    <row r="282" spans="3:10" ht="16.5">
      <c r="C282" s="266" t="s">
        <v>906</v>
      </c>
      <c r="D282" s="266">
        <v>182903</v>
      </c>
      <c r="E282" s="266">
        <f t="shared" si="8"/>
        <v>21948.36</v>
      </c>
      <c r="F282" s="266">
        <f t="shared" si="8"/>
        <v>1755.8688000000002</v>
      </c>
      <c r="G282" s="266">
        <f t="shared" si="8"/>
        <v>263.38032000000004</v>
      </c>
      <c r="H282" s="266">
        <f t="shared" si="8"/>
        <v>65.84508000000001</v>
      </c>
      <c r="I282" s="266">
        <f t="shared" si="8"/>
        <v>14.485917600000002</v>
      </c>
      <c r="J282" s="266">
        <f t="shared" si="8"/>
        <v>2.6074651680000005</v>
      </c>
    </row>
    <row r="283" spans="3:10" ht="16.5">
      <c r="C283" s="266" t="s">
        <v>907</v>
      </c>
      <c r="D283" s="266">
        <v>132305</v>
      </c>
      <c r="E283" s="266">
        <f t="shared" si="8"/>
        <v>15876.599999999999</v>
      </c>
      <c r="F283" s="266">
        <f t="shared" si="8"/>
        <v>1270.1279999999999</v>
      </c>
      <c r="G283" s="266">
        <f t="shared" si="8"/>
        <v>190.51919999999998</v>
      </c>
      <c r="H283" s="266">
        <f t="shared" si="8"/>
        <v>47.629799999999996</v>
      </c>
      <c r="I283" s="266">
        <f t="shared" si="8"/>
        <v>10.478555999999999</v>
      </c>
      <c r="J283" s="266">
        <f t="shared" si="8"/>
        <v>1.8861400799999999</v>
      </c>
    </row>
    <row r="284" spans="3:10" ht="16.5">
      <c r="C284" s="266" t="s">
        <v>898</v>
      </c>
      <c r="D284" s="266">
        <v>198607</v>
      </c>
      <c r="E284" s="266">
        <f t="shared" si="8"/>
        <v>23832.84</v>
      </c>
      <c r="F284" s="266">
        <f t="shared" si="8"/>
        <v>1906.6272000000001</v>
      </c>
      <c r="G284" s="266">
        <f t="shared" si="8"/>
        <v>285.99408</v>
      </c>
      <c r="H284" s="266">
        <f t="shared" si="8"/>
        <v>71.498519999999999</v>
      </c>
      <c r="I284" s="266">
        <f t="shared" si="8"/>
        <v>15.7296744</v>
      </c>
      <c r="J284" s="266">
        <f t="shared" si="8"/>
        <v>2.8313413920000001</v>
      </c>
    </row>
    <row r="285" spans="3:10" ht="16.5">
      <c r="C285" s="266" t="s">
        <v>899</v>
      </c>
      <c r="D285" s="266">
        <v>105812</v>
      </c>
      <c r="E285" s="266">
        <f t="shared" si="8"/>
        <v>12697.439999999999</v>
      </c>
      <c r="F285" s="266">
        <f t="shared" si="8"/>
        <v>1015.7951999999999</v>
      </c>
      <c r="G285" s="266">
        <f t="shared" si="8"/>
        <v>152.36927999999997</v>
      </c>
      <c r="H285" s="266">
        <f t="shared" si="8"/>
        <v>38.092319999999994</v>
      </c>
      <c r="I285" s="266">
        <f t="shared" si="8"/>
        <v>8.380310399999999</v>
      </c>
      <c r="J285" s="266">
        <f t="shared" si="8"/>
        <v>1.5084558719999999</v>
      </c>
    </row>
    <row r="286" spans="3:10" ht="16.5">
      <c r="C286" s="266" t="s">
        <v>900</v>
      </c>
      <c r="D286" s="266">
        <v>112136</v>
      </c>
      <c r="E286" s="266">
        <f t="shared" si="8"/>
        <v>13456.32</v>
      </c>
      <c r="F286" s="266">
        <f t="shared" si="8"/>
        <v>1076.5056</v>
      </c>
      <c r="G286" s="266">
        <f t="shared" si="8"/>
        <v>161.47583999999998</v>
      </c>
      <c r="H286" s="266">
        <f t="shared" si="8"/>
        <v>40.368959999999994</v>
      </c>
      <c r="I286" s="266">
        <f t="shared" si="8"/>
        <v>8.8811711999999989</v>
      </c>
      <c r="J286" s="266">
        <f t="shared" si="8"/>
        <v>1.5986108159999997</v>
      </c>
    </row>
    <row r="287" spans="3:10" ht="16.5">
      <c r="C287" s="266" t="s">
        <v>901</v>
      </c>
      <c r="D287" s="266">
        <v>179230</v>
      </c>
      <c r="E287" s="266">
        <f t="shared" si="8"/>
        <v>21507.599999999999</v>
      </c>
      <c r="F287" s="266">
        <f t="shared" si="8"/>
        <v>1720.6079999999999</v>
      </c>
      <c r="G287" s="266">
        <f t="shared" si="8"/>
        <v>258.09119999999996</v>
      </c>
      <c r="H287" s="266">
        <f t="shared" si="8"/>
        <v>64.522799999999989</v>
      </c>
      <c r="I287" s="266">
        <f t="shared" si="8"/>
        <v>14.195015999999997</v>
      </c>
      <c r="J287" s="266">
        <f t="shared" si="8"/>
        <v>2.5551028799999993</v>
      </c>
    </row>
    <row r="288" spans="3:10" ht="16.5">
      <c r="C288" s="266" t="s">
        <v>902</v>
      </c>
      <c r="D288" s="266">
        <v>163382</v>
      </c>
      <c r="E288" s="266">
        <f t="shared" si="8"/>
        <v>19605.84</v>
      </c>
      <c r="F288" s="266">
        <f t="shared" si="8"/>
        <v>1568.4672</v>
      </c>
      <c r="G288" s="266">
        <f t="shared" si="8"/>
        <v>235.27008000000001</v>
      </c>
      <c r="H288" s="266">
        <f t="shared" si="8"/>
        <v>58.817520000000002</v>
      </c>
      <c r="I288" s="266">
        <f t="shared" si="8"/>
        <v>12.9398544</v>
      </c>
      <c r="J288" s="266">
        <f t="shared" si="8"/>
        <v>2.3291737919999997</v>
      </c>
    </row>
    <row r="289" spans="3:10" ht="16.5">
      <c r="C289" s="266" t="s">
        <v>903</v>
      </c>
      <c r="D289" s="266">
        <v>118303</v>
      </c>
      <c r="E289" s="266">
        <f t="shared" si="8"/>
        <v>14196.359999999999</v>
      </c>
      <c r="F289" s="266">
        <f t="shared" si="8"/>
        <v>1135.7087999999999</v>
      </c>
      <c r="G289" s="266">
        <f t="shared" si="8"/>
        <v>170.35631999999998</v>
      </c>
      <c r="H289" s="266">
        <f t="shared" si="8"/>
        <v>42.589079999999996</v>
      </c>
      <c r="I289" s="266">
        <f t="shared" si="8"/>
        <v>9.3695975999999987</v>
      </c>
      <c r="J289" s="266">
        <f t="shared" si="8"/>
        <v>1.6865275679999998</v>
      </c>
    </row>
    <row r="290" spans="3:10" ht="16.5">
      <c r="C290" s="266" t="s">
        <v>904</v>
      </c>
      <c r="D290" s="266">
        <v>199881</v>
      </c>
      <c r="E290" s="266">
        <f t="shared" si="8"/>
        <v>23985.719999999998</v>
      </c>
      <c r="F290" s="266">
        <f t="shared" si="8"/>
        <v>1918.8575999999998</v>
      </c>
      <c r="G290" s="266">
        <f t="shared" si="8"/>
        <v>287.82863999999995</v>
      </c>
      <c r="H290" s="266">
        <f t="shared" si="8"/>
        <v>71.957159999999988</v>
      </c>
      <c r="I290" s="266">
        <f t="shared" si="8"/>
        <v>15.830575199999997</v>
      </c>
      <c r="J290" s="266">
        <f t="shared" si="8"/>
        <v>2.8495035359999994</v>
      </c>
    </row>
    <row r="291" spans="3:10" ht="16.5">
      <c r="C291" s="266" t="s">
        <v>905</v>
      </c>
      <c r="D291" s="266">
        <v>106006</v>
      </c>
      <c r="E291" s="266">
        <f t="shared" si="8"/>
        <v>12720.72</v>
      </c>
      <c r="F291" s="266">
        <f t="shared" si="8"/>
        <v>1017.6576</v>
      </c>
      <c r="G291" s="266">
        <f t="shared" si="8"/>
        <v>152.64864</v>
      </c>
      <c r="H291" s="266">
        <f t="shared" si="8"/>
        <v>38.16216</v>
      </c>
      <c r="I291" s="266">
        <f t="shared" si="8"/>
        <v>8.3956751999999994</v>
      </c>
      <c r="J291" s="266">
        <f t="shared" si="8"/>
        <v>1.5112215359999999</v>
      </c>
    </row>
    <row r="292" spans="3:10" ht="16.5">
      <c r="C292" s="266" t="s">
        <v>906</v>
      </c>
      <c r="D292" s="266">
        <v>125024</v>
      </c>
      <c r="E292" s="266">
        <f t="shared" si="8"/>
        <v>15002.88</v>
      </c>
      <c r="F292" s="266">
        <f t="shared" si="8"/>
        <v>1200.2303999999999</v>
      </c>
      <c r="G292" s="266">
        <f t="shared" si="8"/>
        <v>180.03455999999997</v>
      </c>
      <c r="H292" s="266">
        <f t="shared" si="8"/>
        <v>45.008639999999993</v>
      </c>
      <c r="I292" s="266">
        <f t="shared" si="8"/>
        <v>9.9019007999999982</v>
      </c>
      <c r="J292" s="266">
        <f t="shared" si="8"/>
        <v>1.7823421439999996</v>
      </c>
    </row>
    <row r="293" spans="3:10" ht="16.5">
      <c r="C293" s="266" t="s">
        <v>907</v>
      </c>
      <c r="D293" s="266">
        <v>177905</v>
      </c>
      <c r="E293" s="266">
        <f t="shared" si="8"/>
        <v>21348.6</v>
      </c>
      <c r="F293" s="266">
        <f t="shared" si="8"/>
        <v>1707.8879999999999</v>
      </c>
      <c r="G293" s="266">
        <f t="shared" si="8"/>
        <v>256.1832</v>
      </c>
      <c r="H293" s="266">
        <f t="shared" si="8"/>
        <v>64.0458</v>
      </c>
      <c r="I293" s="266">
        <f t="shared" si="8"/>
        <v>14.090076</v>
      </c>
      <c r="J293" s="266">
        <f t="shared" si="8"/>
        <v>2.5362136799999999</v>
      </c>
    </row>
    <row r="294" spans="3:10" ht="16.5">
      <c r="C294" s="266" t="s">
        <v>898</v>
      </c>
      <c r="D294" s="266">
        <v>179837</v>
      </c>
      <c r="E294" s="266">
        <f t="shared" si="8"/>
        <v>21580.44</v>
      </c>
      <c r="F294" s="266">
        <f t="shared" si="8"/>
        <v>1726.4351999999999</v>
      </c>
      <c r="G294" s="266">
        <f t="shared" si="8"/>
        <v>258.96527999999995</v>
      </c>
      <c r="H294" s="266">
        <f t="shared" si="8"/>
        <v>64.741319999999988</v>
      </c>
      <c r="I294" s="266">
        <f t="shared" si="8"/>
        <v>14.243090399999998</v>
      </c>
      <c r="J294" s="266">
        <f t="shared" si="8"/>
        <v>2.5637562719999996</v>
      </c>
    </row>
    <row r="295" spans="3:10" ht="16.5">
      <c r="C295" s="266" t="s">
        <v>899</v>
      </c>
      <c r="D295" s="266">
        <v>180766</v>
      </c>
      <c r="E295" s="266">
        <f t="shared" si="8"/>
        <v>21691.919999999998</v>
      </c>
      <c r="F295" s="266">
        <f t="shared" si="8"/>
        <v>1735.3535999999999</v>
      </c>
      <c r="G295" s="266">
        <f t="shared" si="8"/>
        <v>260.30303999999995</v>
      </c>
      <c r="H295" s="266">
        <f t="shared" si="8"/>
        <v>65.075759999999988</v>
      </c>
      <c r="I295" s="266">
        <f t="shared" si="8"/>
        <v>14.316667199999998</v>
      </c>
      <c r="J295" s="266">
        <f t="shared" si="8"/>
        <v>2.5770000959999995</v>
      </c>
    </row>
    <row r="296" spans="3:10" ht="16.5">
      <c r="C296" s="266" t="s">
        <v>900</v>
      </c>
      <c r="D296" s="266">
        <v>116796</v>
      </c>
      <c r="E296" s="266">
        <f t="shared" si="8"/>
        <v>14015.519999999999</v>
      </c>
      <c r="F296" s="266">
        <f t="shared" si="8"/>
        <v>1121.2415999999998</v>
      </c>
      <c r="G296" s="266">
        <f t="shared" si="8"/>
        <v>168.18623999999997</v>
      </c>
      <c r="H296" s="266">
        <f t="shared" si="8"/>
        <v>42.046559999999992</v>
      </c>
      <c r="I296" s="266">
        <f t="shared" si="8"/>
        <v>9.2502431999999981</v>
      </c>
      <c r="J296" s="266">
        <f t="shared" si="8"/>
        <v>1.6650437759999996</v>
      </c>
    </row>
    <row r="297" spans="3:10" ht="16.5">
      <c r="C297" s="266" t="s">
        <v>901</v>
      </c>
      <c r="D297" s="266">
        <v>146233</v>
      </c>
      <c r="E297" s="266">
        <f t="shared" si="8"/>
        <v>17547.96</v>
      </c>
      <c r="F297" s="266">
        <f t="shared" si="8"/>
        <v>1403.8368</v>
      </c>
      <c r="G297" s="266">
        <f t="shared" si="8"/>
        <v>210.57552000000001</v>
      </c>
      <c r="H297" s="266">
        <f t="shared" si="8"/>
        <v>52.643880000000003</v>
      </c>
      <c r="I297" s="266">
        <f t="shared" si="8"/>
        <v>11.581653600000001</v>
      </c>
      <c r="J297" s="266">
        <f t="shared" si="8"/>
        <v>2.0846976480000001</v>
      </c>
    </row>
  </sheetData>
  <mergeCells count="8">
    <mergeCell ref="C2:H2"/>
    <mergeCell ref="D4:G4"/>
    <mergeCell ref="F110:I110"/>
    <mergeCell ref="C202:C203"/>
    <mergeCell ref="D202:D203"/>
    <mergeCell ref="D197:I197"/>
    <mergeCell ref="C112:H112"/>
    <mergeCell ref="C199:J19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7994-6A24-445D-8719-F4EBBEA3969A}">
  <sheetPr codeName="Sheet5"/>
  <dimension ref="B1:O91"/>
  <sheetViews>
    <sheetView zoomScale="113" workbookViewId="0">
      <selection activeCell="F42" sqref="F42"/>
    </sheetView>
  </sheetViews>
  <sheetFormatPr defaultRowHeight="15"/>
  <cols>
    <col min="2" max="2" width="20.7109375" style="6" customWidth="1"/>
    <col min="4" max="6" width="20.7109375" customWidth="1"/>
    <col min="8" max="8" width="20.7109375" customWidth="1"/>
    <col min="12" max="12" width="11.28515625" bestFit="1" customWidth="1"/>
    <col min="14" max="14" width="60.7109375" style="6" customWidth="1"/>
  </cols>
  <sheetData>
    <row r="1" spans="2:15" ht="15.75" thickBot="1"/>
    <row r="2" spans="2:15" ht="29.25" thickBot="1">
      <c r="E2" s="484" t="s">
        <v>38</v>
      </c>
      <c r="F2" s="485"/>
      <c r="G2" s="485"/>
      <c r="H2" s="485"/>
      <c r="I2" s="485"/>
      <c r="J2" s="486"/>
    </row>
    <row r="3" spans="2:15" ht="28.5">
      <c r="E3" s="295"/>
      <c r="F3" s="295"/>
      <c r="G3" s="295"/>
      <c r="H3" s="295"/>
      <c r="I3" s="295"/>
      <c r="J3" s="295"/>
    </row>
    <row r="4" spans="2:15" ht="28.5">
      <c r="E4" s="510" t="s">
        <v>917</v>
      </c>
      <c r="F4" s="511"/>
      <c r="G4" s="511"/>
      <c r="H4" s="511"/>
      <c r="I4" s="511"/>
      <c r="J4" s="512"/>
      <c r="N4" s="305" t="s">
        <v>28</v>
      </c>
    </row>
    <row r="6" spans="2:15">
      <c r="F6" s="506" t="s">
        <v>50</v>
      </c>
      <c r="G6" s="506"/>
      <c r="H6" s="506"/>
      <c r="I6" s="506"/>
    </row>
    <row r="8" spans="2:15">
      <c r="N8" s="6" t="s">
        <v>72</v>
      </c>
    </row>
    <row r="9" spans="2:15">
      <c r="B9" s="27" t="s">
        <v>71</v>
      </c>
      <c r="D9" s="433" t="s">
        <v>74</v>
      </c>
      <c r="E9" s="434" t="s">
        <v>75</v>
      </c>
    </row>
    <row r="10" spans="2:15">
      <c r="B10" s="28" t="s">
        <v>51</v>
      </c>
      <c r="D10" s="23" t="s">
        <v>76</v>
      </c>
      <c r="E10" s="24" t="s">
        <v>77</v>
      </c>
      <c r="F10" s="2"/>
      <c r="G10" s="2"/>
      <c r="H10" s="2"/>
      <c r="I10" s="2"/>
      <c r="J10" s="2"/>
      <c r="K10" s="2"/>
      <c r="L10" s="2"/>
      <c r="M10" s="2"/>
      <c r="N10" s="6" t="s">
        <v>73</v>
      </c>
      <c r="O10" s="2"/>
    </row>
    <row r="11" spans="2:15">
      <c r="B11" s="28" t="s">
        <v>52</v>
      </c>
      <c r="D11" s="23" t="s">
        <v>78</v>
      </c>
      <c r="E11" s="24" t="s">
        <v>79</v>
      </c>
      <c r="N11" s="6" t="s">
        <v>116</v>
      </c>
    </row>
    <row r="12" spans="2:15">
      <c r="B12" s="28" t="s">
        <v>53</v>
      </c>
      <c r="D12" s="23" t="s">
        <v>80</v>
      </c>
      <c r="E12" s="24" t="s">
        <v>81</v>
      </c>
    </row>
    <row r="13" spans="2:15">
      <c r="B13" s="28" t="s">
        <v>54</v>
      </c>
      <c r="D13" s="23" t="s">
        <v>82</v>
      </c>
      <c r="E13" s="24" t="s">
        <v>83</v>
      </c>
      <c r="N13" s="6" t="s">
        <v>119</v>
      </c>
    </row>
    <row r="14" spans="2:15">
      <c r="B14" s="28" t="s">
        <v>55</v>
      </c>
      <c r="D14" s="23" t="s">
        <v>84</v>
      </c>
      <c r="E14" s="24" t="s">
        <v>85</v>
      </c>
      <c r="N14" s="6" t="s">
        <v>120</v>
      </c>
    </row>
    <row r="15" spans="2:15">
      <c r="B15" s="28" t="s">
        <v>56</v>
      </c>
      <c r="D15" s="23" t="s">
        <v>86</v>
      </c>
      <c r="E15" s="24" t="s">
        <v>87</v>
      </c>
      <c r="N15" s="8"/>
    </row>
    <row r="16" spans="2:15">
      <c r="B16" s="28" t="s">
        <v>57</v>
      </c>
      <c r="D16" s="23" t="s">
        <v>88</v>
      </c>
      <c r="E16" s="24" t="s">
        <v>89</v>
      </c>
      <c r="N16" s="6" t="s">
        <v>124</v>
      </c>
    </row>
    <row r="17" spans="2:14">
      <c r="B17" s="28" t="s">
        <v>58</v>
      </c>
      <c r="D17" s="23" t="s">
        <v>90</v>
      </c>
      <c r="E17" s="24" t="s">
        <v>91</v>
      </c>
      <c r="N17" s="8" t="s">
        <v>127</v>
      </c>
    </row>
    <row r="18" spans="2:14">
      <c r="B18" s="28" t="s">
        <v>59</v>
      </c>
      <c r="D18" s="23" t="s">
        <v>92</v>
      </c>
      <c r="E18" s="24" t="s">
        <v>93</v>
      </c>
      <c r="N18" s="8" t="s">
        <v>128</v>
      </c>
    </row>
    <row r="19" spans="2:14">
      <c r="B19" s="28" t="s">
        <v>60</v>
      </c>
      <c r="D19" s="23" t="s">
        <v>94</v>
      </c>
      <c r="E19" s="24" t="s">
        <v>95</v>
      </c>
      <c r="N19" s="8" t="s">
        <v>131</v>
      </c>
    </row>
    <row r="20" spans="2:14">
      <c r="B20" s="28" t="s">
        <v>61</v>
      </c>
      <c r="D20" s="23" t="s">
        <v>96</v>
      </c>
      <c r="E20" s="24" t="s">
        <v>97</v>
      </c>
      <c r="N20" s="8" t="s">
        <v>130</v>
      </c>
    </row>
    <row r="21" spans="2:14">
      <c r="B21" s="28" t="s">
        <v>62</v>
      </c>
      <c r="D21" s="23" t="s">
        <v>98</v>
      </c>
      <c r="E21" s="24" t="s">
        <v>99</v>
      </c>
      <c r="N21" s="8"/>
    </row>
    <row r="22" spans="2:14">
      <c r="B22" s="28" t="s">
        <v>63</v>
      </c>
      <c r="D22" s="23" t="s">
        <v>100</v>
      </c>
      <c r="E22" s="24" t="s">
        <v>101</v>
      </c>
      <c r="N22" s="8" t="s">
        <v>132</v>
      </c>
    </row>
    <row r="23" spans="2:14">
      <c r="B23" s="28" t="s">
        <v>64</v>
      </c>
      <c r="D23" s="23" t="s">
        <v>102</v>
      </c>
      <c r="E23" s="24" t="s">
        <v>103</v>
      </c>
      <c r="N23" s="8" t="s">
        <v>134</v>
      </c>
    </row>
    <row r="24" spans="2:14">
      <c r="B24" s="28" t="s">
        <v>65</v>
      </c>
      <c r="D24" s="23" t="s">
        <v>104</v>
      </c>
      <c r="E24" s="24" t="s">
        <v>105</v>
      </c>
      <c r="N24" s="8" t="s">
        <v>133</v>
      </c>
    </row>
    <row r="25" spans="2:14">
      <c r="B25" s="28" t="s">
        <v>66</v>
      </c>
      <c r="D25" s="23" t="s">
        <v>106</v>
      </c>
      <c r="E25" s="24" t="s">
        <v>107</v>
      </c>
      <c r="N25" s="8"/>
    </row>
    <row r="26" spans="2:14">
      <c r="B26" s="28" t="s">
        <v>67</v>
      </c>
      <c r="D26" s="23" t="s">
        <v>108</v>
      </c>
      <c r="E26" s="24" t="s">
        <v>109</v>
      </c>
      <c r="N26" s="8"/>
    </row>
    <row r="27" spans="2:14">
      <c r="B27" s="28" t="s">
        <v>68</v>
      </c>
      <c r="D27" s="23" t="s">
        <v>110</v>
      </c>
      <c r="E27" s="24" t="s">
        <v>111</v>
      </c>
      <c r="N27" s="8"/>
    </row>
    <row r="28" spans="2:14">
      <c r="B28" s="28" t="s">
        <v>69</v>
      </c>
      <c r="D28" s="23" t="s">
        <v>112</v>
      </c>
      <c r="E28" s="24" t="s">
        <v>113</v>
      </c>
      <c r="N28" s="8"/>
    </row>
    <row r="29" spans="2:14">
      <c r="B29" s="29" t="s">
        <v>70</v>
      </c>
      <c r="D29" s="25" t="s">
        <v>114</v>
      </c>
      <c r="E29" s="26" t="s">
        <v>115</v>
      </c>
      <c r="N29" s="8"/>
    </row>
    <row r="30" spans="2:14">
      <c r="N30" s="8"/>
    </row>
    <row r="31" spans="2:14">
      <c r="N31" s="20"/>
    </row>
    <row r="32" spans="2:14">
      <c r="N32" s="8"/>
    </row>
    <row r="33" spans="2:14">
      <c r="E33" s="506" t="s">
        <v>121</v>
      </c>
      <c r="F33" s="506"/>
      <c r="G33" s="506"/>
      <c r="H33" s="506"/>
      <c r="I33" s="506"/>
      <c r="J33" s="506"/>
      <c r="N33" s="8"/>
    </row>
    <row r="34" spans="2:14">
      <c r="E34" s="6"/>
      <c r="F34" s="6"/>
      <c r="G34" s="6"/>
      <c r="H34" s="6"/>
      <c r="I34" s="6"/>
      <c r="J34" s="6"/>
      <c r="N34" s="8"/>
    </row>
    <row r="35" spans="2:14">
      <c r="B35" s="6" t="s">
        <v>118</v>
      </c>
      <c r="D35" s="435" t="s">
        <v>129</v>
      </c>
      <c r="E35" s="6"/>
      <c r="F35" s="6"/>
      <c r="G35" s="6"/>
      <c r="H35" s="6"/>
      <c r="I35" s="6"/>
      <c r="J35" s="6"/>
      <c r="N35" s="8"/>
    </row>
    <row r="36" spans="2:14">
      <c r="N36" s="8"/>
    </row>
    <row r="37" spans="2:14">
      <c r="B37" s="27" t="s">
        <v>71</v>
      </c>
      <c r="D37" s="27" t="s">
        <v>71</v>
      </c>
      <c r="N37" s="8"/>
    </row>
    <row r="38" spans="2:14">
      <c r="B38" s="28" t="s">
        <v>51</v>
      </c>
      <c r="D38" s="28" t="s">
        <v>51</v>
      </c>
      <c r="N38" s="8"/>
    </row>
    <row r="39" spans="2:14">
      <c r="B39" s="28" t="s">
        <v>52</v>
      </c>
      <c r="D39" s="28" t="s">
        <v>52</v>
      </c>
      <c r="N39" s="8"/>
    </row>
    <row r="40" spans="2:14">
      <c r="B40" s="28" t="s">
        <v>53</v>
      </c>
      <c r="D40" s="28" t="s">
        <v>53</v>
      </c>
      <c r="N40" s="8"/>
    </row>
    <row r="41" spans="2:14">
      <c r="B41" s="28" t="s">
        <v>54</v>
      </c>
      <c r="D41" s="28" t="s">
        <v>54</v>
      </c>
      <c r="N41" s="8"/>
    </row>
    <row r="42" spans="2:14">
      <c r="B42" s="28" t="s">
        <v>55</v>
      </c>
      <c r="D42" s="28" t="s">
        <v>55</v>
      </c>
      <c r="N42" s="8"/>
    </row>
    <row r="43" spans="2:14">
      <c r="B43" s="28" t="s">
        <v>56</v>
      </c>
      <c r="D43" s="28" t="s">
        <v>56</v>
      </c>
      <c r="N43" s="8"/>
    </row>
    <row r="44" spans="2:14">
      <c r="B44" s="28" t="s">
        <v>57</v>
      </c>
      <c r="D44" s="28" t="s">
        <v>57</v>
      </c>
      <c r="N44" s="8"/>
    </row>
    <row r="45" spans="2:14">
      <c r="B45" s="28" t="s">
        <v>58</v>
      </c>
      <c r="D45" s="28" t="s">
        <v>58</v>
      </c>
      <c r="N45" s="8"/>
    </row>
    <row r="46" spans="2:14">
      <c r="B46" s="28" t="s">
        <v>59</v>
      </c>
      <c r="D46" s="28" t="s">
        <v>59</v>
      </c>
      <c r="N46" s="8"/>
    </row>
    <row r="47" spans="2:14">
      <c r="B47" s="28" t="s">
        <v>60</v>
      </c>
      <c r="D47" s="28" t="s">
        <v>60</v>
      </c>
      <c r="N47" s="8"/>
    </row>
    <row r="48" spans="2:14">
      <c r="B48" s="28" t="s">
        <v>61</v>
      </c>
      <c r="D48" s="28" t="s">
        <v>61</v>
      </c>
      <c r="N48" s="8"/>
    </row>
    <row r="49" spans="2:14">
      <c r="B49" s="28" t="s">
        <v>62</v>
      </c>
      <c r="D49" s="28" t="s">
        <v>62</v>
      </c>
      <c r="N49" s="8"/>
    </row>
    <row r="50" spans="2:14">
      <c r="B50" s="28" t="s">
        <v>63</v>
      </c>
      <c r="D50" s="28" t="s">
        <v>63</v>
      </c>
      <c r="N50" s="8"/>
    </row>
    <row r="51" spans="2:14">
      <c r="B51" s="28" t="s">
        <v>64</v>
      </c>
      <c r="D51" s="28" t="s">
        <v>64</v>
      </c>
      <c r="N51" s="8"/>
    </row>
    <row r="52" spans="2:14">
      <c r="B52" s="28" t="s">
        <v>65</v>
      </c>
      <c r="D52" s="28" t="s">
        <v>65</v>
      </c>
      <c r="N52" s="8"/>
    </row>
    <row r="53" spans="2:14">
      <c r="B53" s="28" t="s">
        <v>66</v>
      </c>
      <c r="D53" s="28" t="s">
        <v>66</v>
      </c>
      <c r="N53" s="8"/>
    </row>
    <row r="54" spans="2:14">
      <c r="B54" s="28" t="s">
        <v>67</v>
      </c>
      <c r="D54" s="28" t="s">
        <v>67</v>
      </c>
      <c r="N54" s="8"/>
    </row>
    <row r="55" spans="2:14">
      <c r="B55" s="28" t="s">
        <v>68</v>
      </c>
      <c r="D55" s="28" t="s">
        <v>68</v>
      </c>
      <c r="N55" s="8"/>
    </row>
    <row r="56" spans="2:14">
      <c r="B56" s="28" t="s">
        <v>69</v>
      </c>
      <c r="D56" s="28" t="s">
        <v>69</v>
      </c>
    </row>
    <row r="57" spans="2:14">
      <c r="B57" s="28" t="s">
        <v>70</v>
      </c>
      <c r="D57" s="28" t="s">
        <v>70</v>
      </c>
    </row>
    <row r="58" spans="2:14">
      <c r="B58" s="28" t="s">
        <v>64</v>
      </c>
      <c r="D58" s="30"/>
    </row>
    <row r="59" spans="2:14">
      <c r="B59" s="28" t="s">
        <v>65</v>
      </c>
      <c r="D59" s="30"/>
    </row>
    <row r="60" spans="2:14">
      <c r="B60" s="28" t="s">
        <v>66</v>
      </c>
      <c r="D60" s="30"/>
    </row>
    <row r="61" spans="2:14">
      <c r="B61" s="28" t="s">
        <v>67</v>
      </c>
      <c r="D61" s="30"/>
    </row>
    <row r="62" spans="2:14">
      <c r="B62" s="28" t="s">
        <v>68</v>
      </c>
      <c r="D62" s="30"/>
    </row>
    <row r="63" spans="2:14">
      <c r="B63" s="28" t="s">
        <v>69</v>
      </c>
      <c r="D63" s="30"/>
    </row>
    <row r="64" spans="2:14">
      <c r="B64" s="29" t="s">
        <v>70</v>
      </c>
      <c r="D64" s="31"/>
    </row>
    <row r="68" spans="2:12" ht="18.75">
      <c r="D68" s="519" t="s">
        <v>123</v>
      </c>
      <c r="E68" s="519"/>
      <c r="F68" s="519"/>
    </row>
    <row r="70" spans="2:12">
      <c r="B70" s="6" t="s">
        <v>125</v>
      </c>
      <c r="D70" s="435" t="s">
        <v>126</v>
      </c>
      <c r="F70" s="6" t="s">
        <v>125</v>
      </c>
      <c r="H70" s="435" t="s">
        <v>126</v>
      </c>
    </row>
    <row r="71" spans="2:12">
      <c r="B71" s="27" t="s">
        <v>71</v>
      </c>
      <c r="D71" s="27" t="s">
        <v>71</v>
      </c>
      <c r="F71" s="27">
        <v>150</v>
      </c>
      <c r="H71" s="27">
        <v>150</v>
      </c>
    </row>
    <row r="72" spans="2:12">
      <c r="B72" s="28" t="s">
        <v>51</v>
      </c>
      <c r="D72" s="28" t="s">
        <v>51</v>
      </c>
      <c r="F72" s="28">
        <v>259</v>
      </c>
      <c r="H72" s="28">
        <v>259</v>
      </c>
    </row>
    <row r="73" spans="2:12">
      <c r="B73" s="28" t="s">
        <v>52</v>
      </c>
      <c r="D73" s="28" t="s">
        <v>52</v>
      </c>
      <c r="F73" s="28">
        <v>380</v>
      </c>
      <c r="H73" s="28">
        <v>380</v>
      </c>
      <c r="L73" s="39"/>
    </row>
    <row r="74" spans="2:12">
      <c r="B74" s="28" t="s">
        <v>53</v>
      </c>
      <c r="D74" s="28" t="s">
        <v>53</v>
      </c>
      <c r="F74" s="28">
        <v>44</v>
      </c>
      <c r="H74" s="28">
        <v>44</v>
      </c>
    </row>
    <row r="75" spans="2:12">
      <c r="B75" s="28" t="s">
        <v>54</v>
      </c>
      <c r="D75" s="28" t="s">
        <v>54</v>
      </c>
      <c r="F75" s="28">
        <v>82</v>
      </c>
      <c r="H75" s="28">
        <v>82</v>
      </c>
      <c r="L75" s="39"/>
    </row>
    <row r="76" spans="2:12">
      <c r="B76" s="28" t="s">
        <v>55</v>
      </c>
      <c r="D76" s="28" t="s">
        <v>55</v>
      </c>
      <c r="F76" s="28">
        <v>244</v>
      </c>
      <c r="H76" s="28"/>
    </row>
    <row r="77" spans="2:12">
      <c r="B77" s="28" t="s">
        <v>56</v>
      </c>
      <c r="D77" s="28" t="s">
        <v>56</v>
      </c>
      <c r="F77" s="28">
        <v>237</v>
      </c>
      <c r="H77" s="28">
        <v>237</v>
      </c>
    </row>
    <row r="78" spans="2:12">
      <c r="B78" s="28" t="s">
        <v>57</v>
      </c>
      <c r="D78" s="28" t="s">
        <v>57</v>
      </c>
      <c r="F78" s="28">
        <v>266</v>
      </c>
      <c r="H78" s="28">
        <v>266</v>
      </c>
    </row>
    <row r="79" spans="2:12">
      <c r="B79" s="28" t="s">
        <v>58</v>
      </c>
      <c r="D79" s="28" t="s">
        <v>58</v>
      </c>
      <c r="F79" s="28">
        <v>377</v>
      </c>
      <c r="H79" s="28">
        <v>377</v>
      </c>
    </row>
    <row r="80" spans="2:12">
      <c r="B80" s="28" t="s">
        <v>59</v>
      </c>
      <c r="D80" s="28" t="s">
        <v>59</v>
      </c>
      <c r="F80" s="28">
        <v>292</v>
      </c>
      <c r="H80" s="28"/>
    </row>
    <row r="81" spans="2:8">
      <c r="B81" s="28" t="s">
        <v>60</v>
      </c>
      <c r="D81" s="28" t="s">
        <v>60</v>
      </c>
      <c r="F81" s="28">
        <v>184</v>
      </c>
      <c r="H81" s="28">
        <v>184</v>
      </c>
    </row>
    <row r="82" spans="2:8">
      <c r="B82" s="28" t="s">
        <v>61</v>
      </c>
      <c r="D82" s="28"/>
      <c r="F82" s="28">
        <v>458</v>
      </c>
      <c r="H82" s="28">
        <v>458</v>
      </c>
    </row>
    <row r="83" spans="2:8">
      <c r="B83" s="28" t="s">
        <v>62</v>
      </c>
      <c r="D83" s="28" t="s">
        <v>62</v>
      </c>
      <c r="F83" s="28">
        <v>80</v>
      </c>
      <c r="H83" s="28">
        <v>80</v>
      </c>
    </row>
    <row r="84" spans="2:8">
      <c r="B84" s="28" t="s">
        <v>63</v>
      </c>
      <c r="D84" s="28" t="s">
        <v>63</v>
      </c>
      <c r="F84" s="28">
        <v>51</v>
      </c>
      <c r="H84" s="28">
        <v>51</v>
      </c>
    </row>
    <row r="85" spans="2:8">
      <c r="B85" s="28" t="s">
        <v>64</v>
      </c>
      <c r="D85" s="28"/>
      <c r="F85" s="28">
        <v>144</v>
      </c>
      <c r="H85" s="28"/>
    </row>
    <row r="86" spans="2:8">
      <c r="B86" s="28" t="s">
        <v>65</v>
      </c>
      <c r="D86" s="28" t="s">
        <v>65</v>
      </c>
      <c r="F86" s="28">
        <v>163</v>
      </c>
      <c r="H86" s="28">
        <v>163</v>
      </c>
    </row>
    <row r="87" spans="2:8">
      <c r="B87" s="28" t="s">
        <v>66</v>
      </c>
      <c r="D87" s="28" t="s">
        <v>66</v>
      </c>
      <c r="F87" s="28">
        <v>398</v>
      </c>
      <c r="H87" s="28">
        <v>398</v>
      </c>
    </row>
    <row r="88" spans="2:8">
      <c r="B88" s="28" t="s">
        <v>67</v>
      </c>
      <c r="D88" s="28" t="s">
        <v>67</v>
      </c>
      <c r="F88" s="28">
        <v>238</v>
      </c>
      <c r="H88" s="28"/>
    </row>
    <row r="89" spans="2:8">
      <c r="B89" s="28" t="s">
        <v>68</v>
      </c>
      <c r="D89" s="28"/>
      <c r="F89" s="28">
        <v>91</v>
      </c>
      <c r="H89" s="28">
        <v>91</v>
      </c>
    </row>
    <row r="90" spans="2:8">
      <c r="B90" s="28" t="s">
        <v>69</v>
      </c>
      <c r="D90" s="28" t="s">
        <v>69</v>
      </c>
      <c r="F90" s="28">
        <v>150</v>
      </c>
      <c r="H90" s="28">
        <v>150</v>
      </c>
    </row>
    <row r="91" spans="2:8">
      <c r="B91" s="29" t="s">
        <v>70</v>
      </c>
      <c r="D91" s="29" t="s">
        <v>70</v>
      </c>
      <c r="F91" s="29">
        <v>357</v>
      </c>
      <c r="H91" s="29">
        <v>357</v>
      </c>
    </row>
  </sheetData>
  <mergeCells count="5">
    <mergeCell ref="E2:J2"/>
    <mergeCell ref="F6:I6"/>
    <mergeCell ref="E33:J33"/>
    <mergeCell ref="D68:F68"/>
    <mergeCell ref="E4:J4"/>
  </mergeCells>
  <dataValidations count="2">
    <dataValidation type="custom" allowBlank="1" showInputMessage="1" showErrorMessage="1" error="names should only be in text form " sqref="D71:D91" xr:uid="{85FF14B7-4950-4842-A479-65ECE70CB6D9}">
      <formula1>ISTEXT(D71:D91)</formula1>
    </dataValidation>
    <dataValidation type="custom" allowBlank="1" showInputMessage="1" showErrorMessage="1" error="only numbers are allowed_x000a_" sqref="H71:H91" xr:uid="{8511005D-B1C4-4994-B1B5-9E4C9BA8D7B7}">
      <formula1>ISNUMBER(H71:H91)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D3E7-77D7-4178-88D6-A363D49B0865}">
  <sheetPr codeName="Sheet6"/>
  <dimension ref="B2:J131"/>
  <sheetViews>
    <sheetView zoomScale="88" workbookViewId="0">
      <selection activeCell="E61" sqref="E61"/>
    </sheetView>
  </sheetViews>
  <sheetFormatPr defaultRowHeight="15" outlineLevelRow="2"/>
  <cols>
    <col min="2" max="8" width="25.7109375" customWidth="1"/>
    <col min="9" max="9" width="20.7109375" customWidth="1"/>
    <col min="10" max="10" width="60.7109375" style="6" customWidth="1"/>
    <col min="12" max="12" width="9.140625" customWidth="1"/>
  </cols>
  <sheetData>
    <row r="2" spans="2:10" ht="15.75" thickBot="1"/>
    <row r="3" spans="2:10" ht="29.25" thickBot="1">
      <c r="B3" s="484" t="s">
        <v>44</v>
      </c>
      <c r="C3" s="485"/>
      <c r="D3" s="485"/>
      <c r="E3" s="485"/>
      <c r="F3" s="485"/>
      <c r="G3" s="485"/>
      <c r="H3" s="486"/>
    </row>
    <row r="5" spans="2:10" ht="28.5">
      <c r="B5" s="520" t="s">
        <v>138</v>
      </c>
      <c r="C5" s="489"/>
      <c r="D5" s="489"/>
      <c r="E5" s="489"/>
      <c r="F5" s="489"/>
      <c r="G5" s="489"/>
      <c r="H5" s="521"/>
      <c r="J5" s="305" t="s">
        <v>28</v>
      </c>
    </row>
    <row r="7" spans="2:10">
      <c r="D7" s="506" t="s">
        <v>137</v>
      </c>
      <c r="E7" s="506"/>
      <c r="F7" s="506"/>
    </row>
    <row r="9" spans="2:10">
      <c r="C9" s="109" t="s">
        <v>139</v>
      </c>
      <c r="D9" s="110" t="s">
        <v>135</v>
      </c>
      <c r="E9" s="110" t="s">
        <v>136</v>
      </c>
      <c r="F9" s="110" t="s">
        <v>140</v>
      </c>
      <c r="G9" s="111" t="s">
        <v>141</v>
      </c>
    </row>
    <row r="10" spans="2:10">
      <c r="C10" s="32" t="s">
        <v>142</v>
      </c>
      <c r="D10" s="2">
        <v>1</v>
      </c>
      <c r="E10" s="2">
        <v>50</v>
      </c>
      <c r="F10" s="40">
        <v>1500</v>
      </c>
      <c r="G10" s="33">
        <v>75000</v>
      </c>
    </row>
    <row r="11" spans="2:10">
      <c r="C11" s="32" t="s">
        <v>143</v>
      </c>
      <c r="D11" s="2">
        <v>2</v>
      </c>
      <c r="E11" s="2">
        <v>45</v>
      </c>
      <c r="F11" s="40">
        <v>1600</v>
      </c>
      <c r="G11" s="33">
        <v>72000</v>
      </c>
    </row>
    <row r="12" spans="2:10">
      <c r="C12" s="32" t="s">
        <v>144</v>
      </c>
      <c r="D12" s="2">
        <v>3</v>
      </c>
      <c r="E12" s="2">
        <v>55</v>
      </c>
      <c r="F12" s="40">
        <v>1450</v>
      </c>
      <c r="G12" s="33">
        <v>79750</v>
      </c>
    </row>
    <row r="13" spans="2:10">
      <c r="C13" s="32" t="s">
        <v>145</v>
      </c>
      <c r="D13" s="2">
        <v>4</v>
      </c>
      <c r="E13" s="2">
        <v>40</v>
      </c>
      <c r="F13" s="40">
        <v>1700</v>
      </c>
      <c r="G13" s="33">
        <v>68000</v>
      </c>
      <c r="J13" s="8"/>
    </row>
    <row r="14" spans="2:10">
      <c r="C14" s="32" t="s">
        <v>146</v>
      </c>
      <c r="D14" s="2">
        <v>5</v>
      </c>
      <c r="E14" s="2">
        <v>60</v>
      </c>
      <c r="F14" s="40">
        <v>1400</v>
      </c>
      <c r="G14" s="33">
        <v>84000</v>
      </c>
    </row>
    <row r="15" spans="2:10">
      <c r="C15" s="32" t="s">
        <v>147</v>
      </c>
      <c r="D15" s="2">
        <v>6</v>
      </c>
      <c r="E15" s="2">
        <v>35</v>
      </c>
      <c r="F15" s="40">
        <v>1550</v>
      </c>
      <c r="G15" s="33">
        <v>54250</v>
      </c>
      <c r="J15" s="8"/>
    </row>
    <row r="16" spans="2:10">
      <c r="C16" s="32" t="s">
        <v>148</v>
      </c>
      <c r="D16" s="2">
        <v>7</v>
      </c>
      <c r="E16" s="2">
        <v>42</v>
      </c>
      <c r="F16" s="40">
        <v>1480</v>
      </c>
      <c r="G16" s="33">
        <v>62160</v>
      </c>
      <c r="J16" s="8"/>
    </row>
    <row r="17" spans="3:10">
      <c r="C17" s="32" t="s">
        <v>149</v>
      </c>
      <c r="D17" s="2">
        <v>8</v>
      </c>
      <c r="E17" s="2">
        <v>48</v>
      </c>
      <c r="F17" s="40">
        <v>1530</v>
      </c>
      <c r="G17" s="33">
        <v>73440</v>
      </c>
      <c r="J17" s="8"/>
    </row>
    <row r="18" spans="3:10">
      <c r="C18" s="32" t="s">
        <v>150</v>
      </c>
      <c r="D18" s="2">
        <v>9</v>
      </c>
      <c r="E18" s="2">
        <v>38</v>
      </c>
      <c r="F18" s="40">
        <v>1680</v>
      </c>
      <c r="G18" s="33">
        <v>63840</v>
      </c>
      <c r="J18" s="8"/>
    </row>
    <row r="19" spans="3:10">
      <c r="C19" s="32" t="s">
        <v>151</v>
      </c>
      <c r="D19" s="2">
        <v>10</v>
      </c>
      <c r="E19" s="2">
        <v>30</v>
      </c>
      <c r="F19" s="40">
        <v>1600</v>
      </c>
      <c r="G19" s="33">
        <v>48000</v>
      </c>
      <c r="J19" s="8"/>
    </row>
    <row r="20" spans="3:10">
      <c r="C20" s="32" t="s">
        <v>152</v>
      </c>
      <c r="D20" s="2">
        <v>11</v>
      </c>
      <c r="E20" s="2">
        <v>32</v>
      </c>
      <c r="F20" s="40">
        <v>1550</v>
      </c>
      <c r="G20" s="33">
        <v>49600</v>
      </c>
      <c r="J20" s="8"/>
    </row>
    <row r="21" spans="3:10">
      <c r="C21" s="32" t="s">
        <v>153</v>
      </c>
      <c r="D21" s="2">
        <v>12</v>
      </c>
      <c r="E21" s="2">
        <v>25</v>
      </c>
      <c r="F21" s="40">
        <v>1700</v>
      </c>
      <c r="G21" s="33">
        <v>42500</v>
      </c>
      <c r="J21" s="8"/>
    </row>
    <row r="22" spans="3:10">
      <c r="C22" s="32" t="s">
        <v>154</v>
      </c>
      <c r="D22" s="2">
        <v>13</v>
      </c>
      <c r="E22" s="2">
        <v>27</v>
      </c>
      <c r="F22" s="40">
        <v>1450</v>
      </c>
      <c r="G22" s="33">
        <v>39150</v>
      </c>
      <c r="J22" s="8"/>
    </row>
    <row r="23" spans="3:10">
      <c r="C23" s="32" t="s">
        <v>155</v>
      </c>
      <c r="D23" s="2">
        <v>14</v>
      </c>
      <c r="E23" s="2">
        <v>22</v>
      </c>
      <c r="F23" s="40">
        <v>1800</v>
      </c>
      <c r="G23" s="33">
        <v>39600</v>
      </c>
      <c r="J23" s="8"/>
    </row>
    <row r="24" spans="3:10">
      <c r="C24" s="32" t="s">
        <v>156</v>
      </c>
      <c r="D24" s="2">
        <v>15</v>
      </c>
      <c r="E24" s="2">
        <v>20</v>
      </c>
      <c r="F24" s="40">
        <v>1500</v>
      </c>
      <c r="G24" s="33">
        <v>30000</v>
      </c>
      <c r="J24" s="8"/>
    </row>
    <row r="25" spans="3:10">
      <c r="C25" s="32" t="s">
        <v>142</v>
      </c>
      <c r="D25" s="2">
        <v>16</v>
      </c>
      <c r="E25" s="2">
        <v>55</v>
      </c>
      <c r="F25" s="40">
        <v>1520</v>
      </c>
      <c r="G25" s="33">
        <v>83600</v>
      </c>
      <c r="J25" s="8"/>
    </row>
    <row r="26" spans="3:10">
      <c r="C26" s="32" t="s">
        <v>143</v>
      </c>
      <c r="D26" s="2">
        <v>17</v>
      </c>
      <c r="E26" s="2">
        <v>60</v>
      </c>
      <c r="F26" s="40">
        <v>1580</v>
      </c>
      <c r="G26" s="33">
        <v>94800</v>
      </c>
      <c r="J26" s="8"/>
    </row>
    <row r="27" spans="3:10">
      <c r="C27" s="32" t="s">
        <v>144</v>
      </c>
      <c r="D27" s="2">
        <v>18</v>
      </c>
      <c r="E27" s="2">
        <v>50</v>
      </c>
      <c r="F27" s="40">
        <v>1480</v>
      </c>
      <c r="G27" s="33">
        <v>74000</v>
      </c>
      <c r="J27" s="8"/>
    </row>
    <row r="28" spans="3:10">
      <c r="C28" s="32" t="s">
        <v>145</v>
      </c>
      <c r="D28" s="2">
        <v>19</v>
      </c>
      <c r="E28" s="2">
        <v>45</v>
      </c>
      <c r="F28" s="40">
        <v>1690</v>
      </c>
      <c r="G28" s="33">
        <v>76050</v>
      </c>
      <c r="J28" s="8"/>
    </row>
    <row r="29" spans="3:10">
      <c r="C29" s="32" t="s">
        <v>146</v>
      </c>
      <c r="D29" s="2">
        <v>20</v>
      </c>
      <c r="E29" s="2">
        <v>52</v>
      </c>
      <c r="F29" s="40">
        <v>1420</v>
      </c>
      <c r="G29" s="33">
        <v>73840</v>
      </c>
      <c r="J29" s="20"/>
    </row>
    <row r="30" spans="3:10">
      <c r="C30" s="32" t="s">
        <v>147</v>
      </c>
      <c r="D30" s="2">
        <v>21</v>
      </c>
      <c r="E30" s="2">
        <v>48</v>
      </c>
      <c r="F30" s="40">
        <v>1540</v>
      </c>
      <c r="G30" s="33">
        <v>73920</v>
      </c>
      <c r="J30" s="8"/>
    </row>
    <row r="31" spans="3:10">
      <c r="C31" s="32" t="s">
        <v>148</v>
      </c>
      <c r="D31" s="2">
        <v>22</v>
      </c>
      <c r="E31" s="2">
        <v>42</v>
      </c>
      <c r="F31" s="40">
        <v>1490</v>
      </c>
      <c r="G31" s="33">
        <v>62580</v>
      </c>
      <c r="J31" s="8"/>
    </row>
    <row r="32" spans="3:10">
      <c r="C32" s="32" t="s">
        <v>149</v>
      </c>
      <c r="D32" s="2">
        <v>23</v>
      </c>
      <c r="E32" s="2">
        <v>37</v>
      </c>
      <c r="F32" s="40">
        <v>1510</v>
      </c>
      <c r="G32" s="33">
        <v>55870</v>
      </c>
      <c r="J32" s="8"/>
    </row>
    <row r="33" spans="3:10">
      <c r="C33" s="32" t="s">
        <v>150</v>
      </c>
      <c r="D33" s="2">
        <v>24</v>
      </c>
      <c r="E33" s="2">
        <v>43</v>
      </c>
      <c r="F33" s="40">
        <v>1670</v>
      </c>
      <c r="G33" s="33">
        <v>71910</v>
      </c>
      <c r="J33" s="8"/>
    </row>
    <row r="34" spans="3:10">
      <c r="C34" s="32" t="s">
        <v>151</v>
      </c>
      <c r="D34" s="2">
        <v>25</v>
      </c>
      <c r="E34" s="2">
        <v>28</v>
      </c>
      <c r="F34" s="40">
        <v>1590</v>
      </c>
      <c r="G34" s="33">
        <v>44520</v>
      </c>
      <c r="J34" s="8"/>
    </row>
    <row r="35" spans="3:10">
      <c r="C35" s="32" t="s">
        <v>152</v>
      </c>
      <c r="D35" s="2">
        <v>26</v>
      </c>
      <c r="E35" s="2">
        <v>30</v>
      </c>
      <c r="F35" s="40">
        <v>1560</v>
      </c>
      <c r="G35" s="33">
        <v>46800</v>
      </c>
      <c r="J35" s="8"/>
    </row>
    <row r="36" spans="3:10">
      <c r="C36" s="32" t="s">
        <v>153</v>
      </c>
      <c r="D36" s="2">
        <v>27</v>
      </c>
      <c r="E36" s="2">
        <v>35</v>
      </c>
      <c r="F36" s="40">
        <v>1720</v>
      </c>
      <c r="G36" s="33">
        <v>60200</v>
      </c>
      <c r="J36" s="8"/>
    </row>
    <row r="37" spans="3:10">
      <c r="C37" s="32" t="s">
        <v>154</v>
      </c>
      <c r="D37" s="2">
        <v>28</v>
      </c>
      <c r="E37" s="2">
        <v>32</v>
      </c>
      <c r="F37" s="40">
        <v>1460</v>
      </c>
      <c r="G37" s="33">
        <v>46720</v>
      </c>
      <c r="J37" s="8"/>
    </row>
    <row r="38" spans="3:10">
      <c r="C38" s="32" t="s">
        <v>155</v>
      </c>
      <c r="D38" s="2">
        <v>29</v>
      </c>
      <c r="E38" s="2">
        <v>24</v>
      </c>
      <c r="F38" s="40">
        <v>1780</v>
      </c>
      <c r="G38" s="33">
        <v>42720</v>
      </c>
      <c r="J38" s="8"/>
    </row>
    <row r="39" spans="3:10">
      <c r="C39" s="32" t="s">
        <v>156</v>
      </c>
      <c r="D39" s="2">
        <v>30</v>
      </c>
      <c r="E39" s="2">
        <v>18</v>
      </c>
      <c r="F39" s="40">
        <v>1510</v>
      </c>
      <c r="G39" s="33">
        <v>27180</v>
      </c>
      <c r="J39" s="8"/>
    </row>
    <row r="40" spans="3:10">
      <c r="C40" s="32" t="s">
        <v>142</v>
      </c>
      <c r="D40" s="2">
        <v>31</v>
      </c>
      <c r="E40" s="2">
        <v>60</v>
      </c>
      <c r="F40" s="40">
        <v>1540</v>
      </c>
      <c r="G40" s="33">
        <v>92400</v>
      </c>
      <c r="J40" s="8"/>
    </row>
    <row r="41" spans="3:10">
      <c r="C41" s="32" t="s">
        <v>143</v>
      </c>
      <c r="D41" s="2">
        <v>32</v>
      </c>
      <c r="E41" s="2">
        <v>55</v>
      </c>
      <c r="F41" s="40">
        <v>1590</v>
      </c>
      <c r="G41" s="33">
        <v>87450</v>
      </c>
      <c r="J41" s="8"/>
    </row>
    <row r="42" spans="3:10">
      <c r="C42" s="32" t="s">
        <v>144</v>
      </c>
      <c r="D42" s="2">
        <v>33</v>
      </c>
      <c r="E42" s="2">
        <v>58</v>
      </c>
      <c r="F42" s="40">
        <v>1470</v>
      </c>
      <c r="G42" s="33">
        <v>85460</v>
      </c>
      <c r="J42" s="8"/>
    </row>
    <row r="43" spans="3:10">
      <c r="C43" s="32" t="s">
        <v>145</v>
      </c>
      <c r="D43" s="2">
        <v>34</v>
      </c>
      <c r="E43" s="2">
        <v>42</v>
      </c>
      <c r="F43" s="40">
        <v>1680</v>
      </c>
      <c r="G43" s="33">
        <v>70560</v>
      </c>
      <c r="J43" s="8"/>
    </row>
    <row r="44" spans="3:10">
      <c r="C44" s="32" t="s">
        <v>146</v>
      </c>
      <c r="D44" s="2">
        <v>35</v>
      </c>
      <c r="E44" s="2">
        <v>50</v>
      </c>
      <c r="F44" s="40">
        <v>1430</v>
      </c>
      <c r="G44" s="33">
        <v>71500</v>
      </c>
      <c r="J44" s="8"/>
    </row>
    <row r="45" spans="3:10">
      <c r="C45" s="32" t="s">
        <v>147</v>
      </c>
      <c r="D45" s="2">
        <v>36</v>
      </c>
      <c r="E45" s="2">
        <v>38</v>
      </c>
      <c r="F45" s="40">
        <v>1560</v>
      </c>
      <c r="G45" s="33">
        <v>59280</v>
      </c>
      <c r="J45" s="8"/>
    </row>
    <row r="46" spans="3:10">
      <c r="C46" s="32" t="s">
        <v>148</v>
      </c>
      <c r="D46" s="2">
        <v>37</v>
      </c>
      <c r="E46" s="2">
        <v>40</v>
      </c>
      <c r="F46" s="40">
        <v>1500</v>
      </c>
      <c r="G46" s="33">
        <v>60000</v>
      </c>
      <c r="J46" s="8"/>
    </row>
    <row r="47" spans="3:10">
      <c r="C47" s="32" t="s">
        <v>149</v>
      </c>
      <c r="D47" s="2">
        <v>38</v>
      </c>
      <c r="E47" s="2">
        <v>45</v>
      </c>
      <c r="F47" s="40">
        <v>1520</v>
      </c>
      <c r="G47" s="33">
        <v>68400</v>
      </c>
      <c r="J47" s="8"/>
    </row>
    <row r="48" spans="3:10">
      <c r="C48" s="32" t="s">
        <v>150</v>
      </c>
      <c r="D48" s="2">
        <v>39</v>
      </c>
      <c r="E48" s="2">
        <v>32</v>
      </c>
      <c r="F48" s="40">
        <v>1690</v>
      </c>
      <c r="G48" s="33">
        <v>54080</v>
      </c>
      <c r="J48" s="8"/>
    </row>
    <row r="49" spans="3:10">
      <c r="C49" s="32" t="s">
        <v>151</v>
      </c>
      <c r="D49" s="2">
        <v>40</v>
      </c>
      <c r="E49" s="2">
        <v>25</v>
      </c>
      <c r="F49" s="40">
        <v>1610</v>
      </c>
      <c r="G49" s="33">
        <v>40250</v>
      </c>
      <c r="J49" s="8"/>
    </row>
    <row r="50" spans="3:10">
      <c r="C50" s="32" t="s">
        <v>152</v>
      </c>
      <c r="D50" s="2">
        <v>41</v>
      </c>
      <c r="E50" s="2">
        <v>22</v>
      </c>
      <c r="F50" s="40">
        <v>1570</v>
      </c>
      <c r="G50" s="33">
        <v>34540</v>
      </c>
      <c r="J50" s="8"/>
    </row>
    <row r="51" spans="3:10">
      <c r="C51" s="32" t="s">
        <v>153</v>
      </c>
      <c r="D51" s="2">
        <v>42</v>
      </c>
      <c r="E51" s="2">
        <v>20</v>
      </c>
      <c r="F51" s="40">
        <v>1730</v>
      </c>
      <c r="G51" s="33">
        <v>34600</v>
      </c>
      <c r="J51" s="8"/>
    </row>
    <row r="52" spans="3:10">
      <c r="C52" s="32" t="s">
        <v>154</v>
      </c>
      <c r="D52" s="2">
        <v>43</v>
      </c>
      <c r="E52" s="2">
        <v>18</v>
      </c>
      <c r="F52" s="40">
        <v>1480</v>
      </c>
      <c r="G52" s="33">
        <v>26640</v>
      </c>
      <c r="J52" s="8"/>
    </row>
    <row r="53" spans="3:10">
      <c r="C53" s="32" t="s">
        <v>155</v>
      </c>
      <c r="D53" s="2">
        <v>44</v>
      </c>
      <c r="E53" s="2">
        <v>15</v>
      </c>
      <c r="F53" s="40">
        <v>1810</v>
      </c>
      <c r="G53" s="33">
        <v>27150</v>
      </c>
      <c r="J53" s="8"/>
    </row>
    <row r="54" spans="3:10">
      <c r="C54" s="32" t="s">
        <v>156</v>
      </c>
      <c r="D54" s="2">
        <v>45</v>
      </c>
      <c r="E54" s="2">
        <v>12</v>
      </c>
      <c r="F54" s="40">
        <v>1520</v>
      </c>
      <c r="G54" s="33">
        <v>18240</v>
      </c>
      <c r="J54" s="8"/>
    </row>
    <row r="55" spans="3:10">
      <c r="C55" s="32" t="s">
        <v>142</v>
      </c>
      <c r="D55" s="2">
        <v>46</v>
      </c>
      <c r="E55" s="2">
        <v>58</v>
      </c>
      <c r="F55" s="40">
        <v>1530</v>
      </c>
      <c r="G55" s="33">
        <v>88740</v>
      </c>
    </row>
    <row r="56" spans="3:10">
      <c r="C56" s="32" t="s">
        <v>143</v>
      </c>
      <c r="D56" s="2">
        <v>47</v>
      </c>
      <c r="E56" s="2">
        <v>52</v>
      </c>
      <c r="F56" s="40">
        <v>1570</v>
      </c>
      <c r="G56" s="33">
        <v>81640</v>
      </c>
    </row>
    <row r="57" spans="3:10">
      <c r="C57" s="32" t="s">
        <v>144</v>
      </c>
      <c r="D57" s="2">
        <v>48</v>
      </c>
      <c r="E57" s="2">
        <v>45</v>
      </c>
      <c r="F57" s="40">
        <v>1490</v>
      </c>
      <c r="G57" s="33">
        <v>67050</v>
      </c>
    </row>
    <row r="58" spans="3:10">
      <c r="C58" s="32" t="s">
        <v>145</v>
      </c>
      <c r="D58" s="2">
        <v>49</v>
      </c>
      <c r="E58" s="2">
        <v>40</v>
      </c>
      <c r="F58" s="40">
        <v>1690</v>
      </c>
      <c r="G58" s="33">
        <v>67600</v>
      </c>
    </row>
    <row r="59" spans="3:10">
      <c r="C59" s="34" t="s">
        <v>146</v>
      </c>
      <c r="D59" s="35">
        <v>50</v>
      </c>
      <c r="E59" s="35">
        <v>35</v>
      </c>
      <c r="F59" s="41">
        <v>1410</v>
      </c>
      <c r="G59" s="42">
        <v>49350</v>
      </c>
    </row>
    <row r="61" spans="3:10">
      <c r="E61" s="436" t="s">
        <v>157</v>
      </c>
    </row>
    <row r="63" spans="3:10">
      <c r="C63" s="36" t="s">
        <v>139</v>
      </c>
      <c r="D63" s="37" t="s">
        <v>135</v>
      </c>
      <c r="E63" s="37" t="s">
        <v>136</v>
      </c>
      <c r="F63" s="37" t="s">
        <v>140</v>
      </c>
      <c r="G63" s="38" t="s">
        <v>141</v>
      </c>
    </row>
    <row r="64" spans="3:10" outlineLevel="2">
      <c r="C64" s="43" t="s">
        <v>148</v>
      </c>
      <c r="D64" s="44">
        <v>7</v>
      </c>
      <c r="E64" s="44">
        <v>42</v>
      </c>
      <c r="F64" s="45">
        <v>1480</v>
      </c>
      <c r="G64" s="46">
        <v>62160</v>
      </c>
    </row>
    <row r="65" spans="3:7" outlineLevel="2">
      <c r="C65" s="47" t="s">
        <v>148</v>
      </c>
      <c r="D65" s="48">
        <v>22</v>
      </c>
      <c r="E65" s="48">
        <v>42</v>
      </c>
      <c r="F65" s="49">
        <v>1490</v>
      </c>
      <c r="G65" s="50">
        <v>62580</v>
      </c>
    </row>
    <row r="66" spans="3:7" outlineLevel="2">
      <c r="C66" s="43" t="s">
        <v>148</v>
      </c>
      <c r="D66" s="44">
        <v>37</v>
      </c>
      <c r="E66" s="44">
        <v>40</v>
      </c>
      <c r="F66" s="45">
        <v>1500</v>
      </c>
      <c r="G66" s="46">
        <v>60000</v>
      </c>
    </row>
    <row r="67" spans="3:7" outlineLevel="1">
      <c r="C67" s="51" t="s">
        <v>158</v>
      </c>
      <c r="D67" s="44"/>
      <c r="E67" s="44"/>
      <c r="F67" s="45"/>
      <c r="G67" s="46">
        <f>SUBTOTAL(9,G64:G66)</f>
        <v>184740</v>
      </c>
    </row>
    <row r="68" spans="3:7" outlineLevel="2">
      <c r="C68" s="47" t="s">
        <v>144</v>
      </c>
      <c r="D68" s="48">
        <v>3</v>
      </c>
      <c r="E68" s="48">
        <v>55</v>
      </c>
      <c r="F68" s="49">
        <v>1450</v>
      </c>
      <c r="G68" s="50">
        <v>79750</v>
      </c>
    </row>
    <row r="69" spans="3:7" outlineLevel="2">
      <c r="C69" s="43" t="s">
        <v>144</v>
      </c>
      <c r="D69" s="44">
        <v>18</v>
      </c>
      <c r="E69" s="44">
        <v>50</v>
      </c>
      <c r="F69" s="45">
        <v>1480</v>
      </c>
      <c r="G69" s="46">
        <v>74000</v>
      </c>
    </row>
    <row r="70" spans="3:7" outlineLevel="2">
      <c r="C70" s="47" t="s">
        <v>144</v>
      </c>
      <c r="D70" s="48">
        <v>33</v>
      </c>
      <c r="E70" s="48">
        <v>58</v>
      </c>
      <c r="F70" s="49">
        <v>1470</v>
      </c>
      <c r="G70" s="50">
        <v>85460</v>
      </c>
    </row>
    <row r="71" spans="3:7" outlineLevel="2">
      <c r="C71" s="43" t="s">
        <v>144</v>
      </c>
      <c r="D71" s="44">
        <v>48</v>
      </c>
      <c r="E71" s="44">
        <v>45</v>
      </c>
      <c r="F71" s="45">
        <v>1490</v>
      </c>
      <c r="G71" s="46">
        <v>67050</v>
      </c>
    </row>
    <row r="72" spans="3:7" outlineLevel="1">
      <c r="C72" s="51" t="s">
        <v>159</v>
      </c>
      <c r="D72" s="44"/>
      <c r="E72" s="44"/>
      <c r="F72" s="45"/>
      <c r="G72" s="46">
        <f>SUBTOTAL(9,G68:G71)</f>
        <v>306260</v>
      </c>
    </row>
    <row r="73" spans="3:7" outlineLevel="2">
      <c r="C73" s="47" t="s">
        <v>152</v>
      </c>
      <c r="D73" s="48">
        <v>11</v>
      </c>
      <c r="E73" s="48">
        <v>32</v>
      </c>
      <c r="F73" s="49">
        <v>1550</v>
      </c>
      <c r="G73" s="50">
        <v>49600</v>
      </c>
    </row>
    <row r="74" spans="3:7" outlineLevel="2">
      <c r="C74" s="43" t="s">
        <v>152</v>
      </c>
      <c r="D74" s="44">
        <v>26</v>
      </c>
      <c r="E74" s="44">
        <v>30</v>
      </c>
      <c r="F74" s="45">
        <v>1560</v>
      </c>
      <c r="G74" s="46">
        <v>46800</v>
      </c>
    </row>
    <row r="75" spans="3:7" outlineLevel="2">
      <c r="C75" s="47" t="s">
        <v>152</v>
      </c>
      <c r="D75" s="48">
        <v>41</v>
      </c>
      <c r="E75" s="48">
        <v>22</v>
      </c>
      <c r="F75" s="49">
        <v>1570</v>
      </c>
      <c r="G75" s="50">
        <v>34540</v>
      </c>
    </row>
    <row r="76" spans="3:7" outlineLevel="1">
      <c r="C76" s="52" t="s">
        <v>160</v>
      </c>
      <c r="D76" s="48"/>
      <c r="E76" s="48"/>
      <c r="F76" s="49"/>
      <c r="G76" s="50">
        <f>SUBTOTAL(9,G73:G75)</f>
        <v>130940</v>
      </c>
    </row>
    <row r="77" spans="3:7" outlineLevel="2">
      <c r="C77" s="43" t="s">
        <v>146</v>
      </c>
      <c r="D77" s="44">
        <v>5</v>
      </c>
      <c r="E77" s="44">
        <v>60</v>
      </c>
      <c r="F77" s="45">
        <v>1400</v>
      </c>
      <c r="G77" s="46">
        <v>84000</v>
      </c>
    </row>
    <row r="78" spans="3:7" outlineLevel="2">
      <c r="C78" s="47" t="s">
        <v>146</v>
      </c>
      <c r="D78" s="48">
        <v>20</v>
      </c>
      <c r="E78" s="48">
        <v>52</v>
      </c>
      <c r="F78" s="49">
        <v>1420</v>
      </c>
      <c r="G78" s="50">
        <v>73840</v>
      </c>
    </row>
    <row r="79" spans="3:7" outlineLevel="2">
      <c r="C79" s="43" t="s">
        <v>146</v>
      </c>
      <c r="D79" s="44">
        <v>35</v>
      </c>
      <c r="E79" s="44">
        <v>50</v>
      </c>
      <c r="F79" s="45">
        <v>1430</v>
      </c>
      <c r="G79" s="46">
        <v>71500</v>
      </c>
    </row>
    <row r="80" spans="3:7" outlineLevel="2">
      <c r="C80" s="47" t="s">
        <v>146</v>
      </c>
      <c r="D80" s="48">
        <v>50</v>
      </c>
      <c r="E80" s="48">
        <v>35</v>
      </c>
      <c r="F80" s="49">
        <v>1410</v>
      </c>
      <c r="G80" s="50">
        <v>49350</v>
      </c>
    </row>
    <row r="81" spans="3:7" outlineLevel="1">
      <c r="C81" s="52" t="s">
        <v>161</v>
      </c>
      <c r="D81" s="48"/>
      <c r="E81" s="48"/>
      <c r="F81" s="49"/>
      <c r="G81" s="50">
        <f>SUBTOTAL(9,G77:G80)</f>
        <v>278690</v>
      </c>
    </row>
    <row r="82" spans="3:7" outlineLevel="2">
      <c r="C82" s="43" t="s">
        <v>143</v>
      </c>
      <c r="D82" s="44">
        <v>2</v>
      </c>
      <c r="E82" s="44">
        <v>45</v>
      </c>
      <c r="F82" s="45">
        <v>1600</v>
      </c>
      <c r="G82" s="46">
        <v>72000</v>
      </c>
    </row>
    <row r="83" spans="3:7" outlineLevel="2">
      <c r="C83" s="47" t="s">
        <v>143</v>
      </c>
      <c r="D83" s="48">
        <v>17</v>
      </c>
      <c r="E83" s="48">
        <v>60</v>
      </c>
      <c r="F83" s="49">
        <v>1580</v>
      </c>
      <c r="G83" s="50">
        <v>94800</v>
      </c>
    </row>
    <row r="84" spans="3:7" outlineLevel="2">
      <c r="C84" s="43" t="s">
        <v>143</v>
      </c>
      <c r="D84" s="44">
        <v>32</v>
      </c>
      <c r="E84" s="44">
        <v>55</v>
      </c>
      <c r="F84" s="45">
        <v>1590</v>
      </c>
      <c r="G84" s="46">
        <v>87450</v>
      </c>
    </row>
    <row r="85" spans="3:7" outlineLevel="2">
      <c r="C85" s="47" t="s">
        <v>143</v>
      </c>
      <c r="D85" s="48">
        <v>47</v>
      </c>
      <c r="E85" s="48">
        <v>52</v>
      </c>
      <c r="F85" s="49">
        <v>1570</v>
      </c>
      <c r="G85" s="50">
        <v>81640</v>
      </c>
    </row>
    <row r="86" spans="3:7" outlineLevel="1">
      <c r="C86" s="52" t="s">
        <v>162</v>
      </c>
      <c r="D86" s="48"/>
      <c r="E86" s="48"/>
      <c r="F86" s="49"/>
      <c r="G86" s="50">
        <f>SUBTOTAL(9,G82:G85)</f>
        <v>335890</v>
      </c>
    </row>
    <row r="87" spans="3:7" outlineLevel="2">
      <c r="C87" s="43" t="s">
        <v>147</v>
      </c>
      <c r="D87" s="44">
        <v>6</v>
      </c>
      <c r="E87" s="44">
        <v>35</v>
      </c>
      <c r="F87" s="45">
        <v>1550</v>
      </c>
      <c r="G87" s="46">
        <v>54250</v>
      </c>
    </row>
    <row r="88" spans="3:7" outlineLevel="2">
      <c r="C88" s="47" t="s">
        <v>147</v>
      </c>
      <c r="D88" s="48">
        <v>21</v>
      </c>
      <c r="E88" s="48">
        <v>48</v>
      </c>
      <c r="F88" s="49">
        <v>1540</v>
      </c>
      <c r="G88" s="50">
        <v>73920</v>
      </c>
    </row>
    <row r="89" spans="3:7" outlineLevel="2">
      <c r="C89" s="43" t="s">
        <v>147</v>
      </c>
      <c r="D89" s="44">
        <v>36</v>
      </c>
      <c r="E89" s="44">
        <v>38</v>
      </c>
      <c r="F89" s="45">
        <v>1560</v>
      </c>
      <c r="G89" s="46">
        <v>59280</v>
      </c>
    </row>
    <row r="90" spans="3:7" outlineLevel="1">
      <c r="C90" s="51" t="s">
        <v>163</v>
      </c>
      <c r="D90" s="44"/>
      <c r="E90" s="44"/>
      <c r="F90" s="45"/>
      <c r="G90" s="46">
        <f>SUBTOTAL(9,G87:G89)</f>
        <v>187450</v>
      </c>
    </row>
    <row r="91" spans="3:7" outlineLevel="2">
      <c r="C91" s="47" t="s">
        <v>153</v>
      </c>
      <c r="D91" s="48">
        <v>12</v>
      </c>
      <c r="E91" s="48">
        <v>25</v>
      </c>
      <c r="F91" s="49">
        <v>1700</v>
      </c>
      <c r="G91" s="50">
        <v>42500</v>
      </c>
    </row>
    <row r="92" spans="3:7" outlineLevel="2">
      <c r="C92" s="43" t="s">
        <v>153</v>
      </c>
      <c r="D92" s="44">
        <v>27</v>
      </c>
      <c r="E92" s="44">
        <v>35</v>
      </c>
      <c r="F92" s="45">
        <v>1720</v>
      </c>
      <c r="G92" s="46">
        <v>60200</v>
      </c>
    </row>
    <row r="93" spans="3:7" outlineLevel="2">
      <c r="C93" s="47" t="s">
        <v>153</v>
      </c>
      <c r="D93" s="48">
        <v>42</v>
      </c>
      <c r="E93" s="48">
        <v>20</v>
      </c>
      <c r="F93" s="49">
        <v>1730</v>
      </c>
      <c r="G93" s="50">
        <v>34600</v>
      </c>
    </row>
    <row r="94" spans="3:7" outlineLevel="1">
      <c r="C94" s="52" t="s">
        <v>164</v>
      </c>
      <c r="D94" s="48"/>
      <c r="E94" s="48"/>
      <c r="F94" s="49"/>
      <c r="G94" s="50">
        <f>SUBTOTAL(9,G91:G93)</f>
        <v>137300</v>
      </c>
    </row>
    <row r="95" spans="3:7" outlineLevel="2">
      <c r="C95" s="43" t="s">
        <v>150</v>
      </c>
      <c r="D95" s="44">
        <v>9</v>
      </c>
      <c r="E95" s="44">
        <v>38</v>
      </c>
      <c r="F95" s="45">
        <v>1680</v>
      </c>
      <c r="G95" s="46">
        <v>63840</v>
      </c>
    </row>
    <row r="96" spans="3:7" outlineLevel="2">
      <c r="C96" s="47" t="s">
        <v>150</v>
      </c>
      <c r="D96" s="48">
        <v>24</v>
      </c>
      <c r="E96" s="48">
        <v>43</v>
      </c>
      <c r="F96" s="49">
        <v>1670</v>
      </c>
      <c r="G96" s="50">
        <v>71910</v>
      </c>
    </row>
    <row r="97" spans="3:7" outlineLevel="2">
      <c r="C97" s="43" t="s">
        <v>150</v>
      </c>
      <c r="D97" s="44">
        <v>39</v>
      </c>
      <c r="E97" s="44">
        <v>32</v>
      </c>
      <c r="F97" s="45">
        <v>1690</v>
      </c>
      <c r="G97" s="46">
        <v>54080</v>
      </c>
    </row>
    <row r="98" spans="3:7" outlineLevel="1">
      <c r="C98" s="51" t="s">
        <v>165</v>
      </c>
      <c r="D98" s="44"/>
      <c r="E98" s="44"/>
      <c r="F98" s="45"/>
      <c r="G98" s="46">
        <f>SUBTOTAL(9,G95:G97)</f>
        <v>189830</v>
      </c>
    </row>
    <row r="99" spans="3:7" outlineLevel="2">
      <c r="C99" s="47" t="s">
        <v>145</v>
      </c>
      <c r="D99" s="48">
        <v>4</v>
      </c>
      <c r="E99" s="48">
        <v>40</v>
      </c>
      <c r="F99" s="49">
        <v>1700</v>
      </c>
      <c r="G99" s="50">
        <v>68000</v>
      </c>
    </row>
    <row r="100" spans="3:7" outlineLevel="2">
      <c r="C100" s="43" t="s">
        <v>145</v>
      </c>
      <c r="D100" s="44">
        <v>19</v>
      </c>
      <c r="E100" s="44">
        <v>45</v>
      </c>
      <c r="F100" s="45">
        <v>1690</v>
      </c>
      <c r="G100" s="46">
        <v>76050</v>
      </c>
    </row>
    <row r="101" spans="3:7" outlineLevel="2">
      <c r="C101" s="47" t="s">
        <v>145</v>
      </c>
      <c r="D101" s="48">
        <v>34</v>
      </c>
      <c r="E101" s="48">
        <v>42</v>
      </c>
      <c r="F101" s="49">
        <v>1680</v>
      </c>
      <c r="G101" s="50">
        <v>70560</v>
      </c>
    </row>
    <row r="102" spans="3:7" outlineLevel="2">
      <c r="C102" s="43" t="s">
        <v>145</v>
      </c>
      <c r="D102" s="44">
        <v>49</v>
      </c>
      <c r="E102" s="44">
        <v>40</v>
      </c>
      <c r="F102" s="45">
        <v>1690</v>
      </c>
      <c r="G102" s="46">
        <v>67600</v>
      </c>
    </row>
    <row r="103" spans="3:7" outlineLevel="1">
      <c r="C103" s="51" t="s">
        <v>166</v>
      </c>
      <c r="D103" s="44"/>
      <c r="E103" s="44"/>
      <c r="F103" s="45"/>
      <c r="G103" s="46">
        <f>SUBTOTAL(9,G99:G102)</f>
        <v>282210</v>
      </c>
    </row>
    <row r="104" spans="3:7" outlineLevel="2">
      <c r="C104" s="47" t="s">
        <v>151</v>
      </c>
      <c r="D104" s="48">
        <v>10</v>
      </c>
      <c r="E104" s="48">
        <v>30</v>
      </c>
      <c r="F104" s="49">
        <v>1600</v>
      </c>
      <c r="G104" s="50">
        <v>48000</v>
      </c>
    </row>
    <row r="105" spans="3:7" outlineLevel="2">
      <c r="C105" s="43" t="s">
        <v>151</v>
      </c>
      <c r="D105" s="44">
        <v>25</v>
      </c>
      <c r="E105" s="44">
        <v>28</v>
      </c>
      <c r="F105" s="45">
        <v>1590</v>
      </c>
      <c r="G105" s="46">
        <v>44520</v>
      </c>
    </row>
    <row r="106" spans="3:7" outlineLevel="2">
      <c r="C106" s="47" t="s">
        <v>151</v>
      </c>
      <c r="D106" s="48">
        <v>40</v>
      </c>
      <c r="E106" s="48">
        <v>25</v>
      </c>
      <c r="F106" s="49">
        <v>1610</v>
      </c>
      <c r="G106" s="50">
        <v>40250</v>
      </c>
    </row>
    <row r="107" spans="3:7" outlineLevel="1">
      <c r="C107" s="52" t="s">
        <v>167</v>
      </c>
      <c r="D107" s="48"/>
      <c r="E107" s="48"/>
      <c r="F107" s="49"/>
      <c r="G107" s="50">
        <f>SUBTOTAL(9,G104:G106)</f>
        <v>132770</v>
      </c>
    </row>
    <row r="108" spans="3:7" outlineLevel="2">
      <c r="C108" s="43" t="s">
        <v>142</v>
      </c>
      <c r="D108" s="44">
        <v>1</v>
      </c>
      <c r="E108" s="44">
        <v>50</v>
      </c>
      <c r="F108" s="45">
        <v>1500</v>
      </c>
      <c r="G108" s="46">
        <v>75000</v>
      </c>
    </row>
    <row r="109" spans="3:7" outlineLevel="2">
      <c r="C109" s="47" t="s">
        <v>142</v>
      </c>
      <c r="D109" s="48">
        <v>16</v>
      </c>
      <c r="E109" s="48">
        <v>55</v>
      </c>
      <c r="F109" s="49">
        <v>1520</v>
      </c>
      <c r="G109" s="50">
        <v>83600</v>
      </c>
    </row>
    <row r="110" spans="3:7" outlineLevel="2">
      <c r="C110" s="43" t="s">
        <v>142</v>
      </c>
      <c r="D110" s="44">
        <v>31</v>
      </c>
      <c r="E110" s="44">
        <v>60</v>
      </c>
      <c r="F110" s="45">
        <v>1540</v>
      </c>
      <c r="G110" s="46">
        <v>92400</v>
      </c>
    </row>
    <row r="111" spans="3:7" outlineLevel="2">
      <c r="C111" s="47" t="s">
        <v>142</v>
      </c>
      <c r="D111" s="48">
        <v>46</v>
      </c>
      <c r="E111" s="48">
        <v>58</v>
      </c>
      <c r="F111" s="49">
        <v>1530</v>
      </c>
      <c r="G111" s="50">
        <v>88740</v>
      </c>
    </row>
    <row r="112" spans="3:7" outlineLevel="1">
      <c r="C112" s="52" t="s">
        <v>168</v>
      </c>
      <c r="D112" s="48"/>
      <c r="E112" s="48"/>
      <c r="F112" s="49"/>
      <c r="G112" s="50">
        <f>SUBTOTAL(9,G108:G111)</f>
        <v>339740</v>
      </c>
    </row>
    <row r="113" spans="3:7" outlineLevel="2">
      <c r="C113" s="43" t="s">
        <v>156</v>
      </c>
      <c r="D113" s="44">
        <v>15</v>
      </c>
      <c r="E113" s="44">
        <v>20</v>
      </c>
      <c r="F113" s="45">
        <v>1500</v>
      </c>
      <c r="G113" s="46">
        <v>30000</v>
      </c>
    </row>
    <row r="114" spans="3:7" outlineLevel="2">
      <c r="C114" s="47" t="s">
        <v>156</v>
      </c>
      <c r="D114" s="48">
        <v>30</v>
      </c>
      <c r="E114" s="48">
        <v>18</v>
      </c>
      <c r="F114" s="49">
        <v>1510</v>
      </c>
      <c r="G114" s="50">
        <v>27180</v>
      </c>
    </row>
    <row r="115" spans="3:7" outlineLevel="2">
      <c r="C115" s="43" t="s">
        <v>156</v>
      </c>
      <c r="D115" s="44">
        <v>45</v>
      </c>
      <c r="E115" s="44">
        <v>12</v>
      </c>
      <c r="F115" s="45">
        <v>1520</v>
      </c>
      <c r="G115" s="46">
        <v>18240</v>
      </c>
    </row>
    <row r="116" spans="3:7" outlineLevel="1">
      <c r="C116" s="51" t="s">
        <v>169</v>
      </c>
      <c r="D116" s="44"/>
      <c r="E116" s="44"/>
      <c r="F116" s="45"/>
      <c r="G116" s="46">
        <f>SUBTOTAL(9,G113:G115)</f>
        <v>75420</v>
      </c>
    </row>
    <row r="117" spans="3:7" outlineLevel="2">
      <c r="C117" s="47" t="s">
        <v>149</v>
      </c>
      <c r="D117" s="48">
        <v>8</v>
      </c>
      <c r="E117" s="48">
        <v>48</v>
      </c>
      <c r="F117" s="49">
        <v>1530</v>
      </c>
      <c r="G117" s="50">
        <v>73440</v>
      </c>
    </row>
    <row r="118" spans="3:7" outlineLevel="2">
      <c r="C118" s="43" t="s">
        <v>149</v>
      </c>
      <c r="D118" s="44">
        <v>23</v>
      </c>
      <c r="E118" s="44">
        <v>37</v>
      </c>
      <c r="F118" s="45">
        <v>1510</v>
      </c>
      <c r="G118" s="46">
        <v>55870</v>
      </c>
    </row>
    <row r="119" spans="3:7" outlineLevel="2">
      <c r="C119" s="47" t="s">
        <v>149</v>
      </c>
      <c r="D119" s="48">
        <v>38</v>
      </c>
      <c r="E119" s="48">
        <v>45</v>
      </c>
      <c r="F119" s="49">
        <v>1520</v>
      </c>
      <c r="G119" s="50">
        <v>68400</v>
      </c>
    </row>
    <row r="120" spans="3:7" outlineLevel="1">
      <c r="C120" s="52" t="s">
        <v>170</v>
      </c>
      <c r="D120" s="48"/>
      <c r="E120" s="48"/>
      <c r="F120" s="49"/>
      <c r="G120" s="50">
        <f>SUBTOTAL(9,G117:G119)</f>
        <v>197710</v>
      </c>
    </row>
    <row r="121" spans="3:7" outlineLevel="2">
      <c r="C121" s="43" t="s">
        <v>154</v>
      </c>
      <c r="D121" s="44">
        <v>13</v>
      </c>
      <c r="E121" s="44">
        <v>27</v>
      </c>
      <c r="F121" s="45">
        <v>1450</v>
      </c>
      <c r="G121" s="46">
        <v>39150</v>
      </c>
    </row>
    <row r="122" spans="3:7" outlineLevel="2">
      <c r="C122" s="47" t="s">
        <v>154</v>
      </c>
      <c r="D122" s="48">
        <v>28</v>
      </c>
      <c r="E122" s="48">
        <v>32</v>
      </c>
      <c r="F122" s="49">
        <v>1460</v>
      </c>
      <c r="G122" s="50">
        <v>46720</v>
      </c>
    </row>
    <row r="123" spans="3:7" outlineLevel="2">
      <c r="C123" s="43" t="s">
        <v>154</v>
      </c>
      <c r="D123" s="44">
        <v>43</v>
      </c>
      <c r="E123" s="44">
        <v>18</v>
      </c>
      <c r="F123" s="45">
        <v>1480</v>
      </c>
      <c r="G123" s="46">
        <v>26640</v>
      </c>
    </row>
    <row r="124" spans="3:7" outlineLevel="1">
      <c r="C124" s="51" t="s">
        <v>171</v>
      </c>
      <c r="D124" s="44"/>
      <c r="E124" s="44"/>
      <c r="F124" s="45"/>
      <c r="G124" s="46">
        <f>SUBTOTAL(9,G121:G123)</f>
        <v>112510</v>
      </c>
    </row>
    <row r="125" spans="3:7" outlineLevel="2">
      <c r="C125" s="47" t="s">
        <v>155</v>
      </c>
      <c r="D125" s="48">
        <v>14</v>
      </c>
      <c r="E125" s="48">
        <v>22</v>
      </c>
      <c r="F125" s="49">
        <v>1800</v>
      </c>
      <c r="G125" s="50">
        <v>39600</v>
      </c>
    </row>
    <row r="126" spans="3:7" outlineLevel="2">
      <c r="C126" s="43" t="s">
        <v>155</v>
      </c>
      <c r="D126" s="44">
        <v>29</v>
      </c>
      <c r="E126" s="44">
        <v>24</v>
      </c>
      <c r="F126" s="45">
        <v>1780</v>
      </c>
      <c r="G126" s="46">
        <v>42720</v>
      </c>
    </row>
    <row r="127" spans="3:7" outlineLevel="2">
      <c r="C127" s="47" t="s">
        <v>155</v>
      </c>
      <c r="D127" s="48">
        <v>44</v>
      </c>
      <c r="E127" s="48">
        <v>15</v>
      </c>
      <c r="F127" s="49">
        <v>1810</v>
      </c>
      <c r="G127" s="50">
        <v>27150</v>
      </c>
    </row>
    <row r="128" spans="3:7" outlineLevel="1">
      <c r="C128" s="53" t="s">
        <v>172</v>
      </c>
      <c r="D128" s="2"/>
      <c r="E128" s="2"/>
      <c r="F128" s="40"/>
      <c r="G128" s="40">
        <f>SUBTOTAL(9,G125:G127)</f>
        <v>109470</v>
      </c>
    </row>
    <row r="129" spans="3:7">
      <c r="C129" s="53" t="s">
        <v>173</v>
      </c>
      <c r="D129" s="2"/>
      <c r="E129" s="2"/>
      <c r="F129" s="40"/>
      <c r="G129" s="40">
        <f>SUBTOTAL(9,G64:G127)</f>
        <v>3000930</v>
      </c>
    </row>
    <row r="130" spans="3:7">
      <c r="C130" s="57"/>
      <c r="D130" s="58"/>
      <c r="E130" s="58"/>
      <c r="F130" s="58"/>
      <c r="G130" s="59"/>
    </row>
    <row r="131" spans="3:7">
      <c r="C131" s="54"/>
      <c r="D131" s="55"/>
      <c r="E131" s="55"/>
      <c r="F131" s="55"/>
      <c r="G131" s="56"/>
    </row>
  </sheetData>
  <mergeCells count="3">
    <mergeCell ref="D7:F7"/>
    <mergeCell ref="B3:H3"/>
    <mergeCell ref="B5:H5"/>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6B37-7421-4B7E-9EE9-FD974E223010}">
  <sheetPr codeName="Sheet7"/>
  <dimension ref="B1:P223"/>
  <sheetViews>
    <sheetView topLeftCell="C1" zoomScale="122" zoomScaleNormal="151" workbookViewId="0">
      <selection activeCell="I81" sqref="I81"/>
    </sheetView>
  </sheetViews>
  <sheetFormatPr defaultRowHeight="15"/>
  <cols>
    <col min="3" max="6" width="20.7109375" customWidth="1"/>
    <col min="7" max="7" width="12.85546875" bestFit="1" customWidth="1"/>
    <col min="8" max="11" width="20.7109375" customWidth="1"/>
    <col min="16" max="16" width="86.85546875" style="6" customWidth="1"/>
  </cols>
  <sheetData>
    <row r="1" spans="2:16" ht="15.75" thickBot="1"/>
    <row r="2" spans="2:16" ht="29.25" thickBot="1">
      <c r="D2" s="484" t="s">
        <v>117</v>
      </c>
      <c r="E2" s="485"/>
      <c r="F2" s="485"/>
      <c r="G2" s="485"/>
      <c r="H2" s="486"/>
    </row>
    <row r="4" spans="2:16" ht="28.5">
      <c r="D4" s="520" t="s">
        <v>175</v>
      </c>
      <c r="E4" s="489"/>
      <c r="F4" s="489"/>
      <c r="G4" s="489"/>
      <c r="H4" s="521"/>
      <c r="P4" s="305" t="s">
        <v>28</v>
      </c>
    </row>
    <row r="6" spans="2:16">
      <c r="B6" s="505" t="s">
        <v>918</v>
      </c>
      <c r="C6" s="505"/>
      <c r="P6" s="19"/>
    </row>
    <row r="7" spans="2:16">
      <c r="B7" s="528" t="s">
        <v>201</v>
      </c>
      <c r="C7" s="528"/>
      <c r="D7" s="528"/>
      <c r="E7" s="528"/>
      <c r="F7" s="528"/>
      <c r="G7" s="528"/>
      <c r="H7" s="528"/>
      <c r="I7" s="528"/>
      <c r="J7" s="528"/>
      <c r="K7" s="149"/>
      <c r="L7" s="149"/>
      <c r="M7" s="149"/>
      <c r="P7"/>
    </row>
    <row r="8" spans="2:16">
      <c r="B8" s="528" t="s">
        <v>176</v>
      </c>
      <c r="C8" s="528"/>
      <c r="D8" s="528"/>
      <c r="E8" s="528"/>
      <c r="F8" s="528"/>
      <c r="G8" s="528"/>
      <c r="H8" s="528"/>
      <c r="I8" s="528"/>
      <c r="J8" s="528"/>
      <c r="P8" t="s">
        <v>232</v>
      </c>
    </row>
    <row r="9" spans="2:16">
      <c r="B9" s="527"/>
      <c r="C9" s="527"/>
      <c r="D9" s="527"/>
      <c r="E9" s="527"/>
      <c r="F9" s="527"/>
      <c r="G9" s="527"/>
      <c r="H9" s="527"/>
      <c r="I9" s="527"/>
      <c r="J9" s="527"/>
      <c r="P9" t="s">
        <v>525</v>
      </c>
    </row>
    <row r="10" spans="2:16">
      <c r="B10" s="526" t="s">
        <v>194</v>
      </c>
      <c r="C10" s="526"/>
      <c r="D10" s="526"/>
      <c r="E10" s="526"/>
      <c r="F10" s="526"/>
      <c r="G10" s="526"/>
      <c r="H10" s="526"/>
      <c r="P10" t="s">
        <v>526</v>
      </c>
    </row>
    <row r="11" spans="2:16">
      <c r="B11" s="526" t="s">
        <v>192</v>
      </c>
      <c r="C11" s="526"/>
      <c r="D11" s="526"/>
      <c r="E11" s="526"/>
      <c r="F11" s="526"/>
      <c r="G11" s="526"/>
      <c r="H11" s="526"/>
      <c r="P11"/>
    </row>
    <row r="12" spans="2:16">
      <c r="B12" s="526" t="s">
        <v>193</v>
      </c>
      <c r="C12" s="526"/>
      <c r="D12" s="526"/>
      <c r="E12" s="526"/>
      <c r="F12" s="526"/>
      <c r="G12" s="526"/>
      <c r="H12" s="526"/>
      <c r="P12"/>
    </row>
    <row r="13" spans="2:16">
      <c r="B13" s="180"/>
      <c r="C13" s="180"/>
      <c r="D13" s="180"/>
      <c r="E13" s="180"/>
      <c r="F13" s="180"/>
      <c r="G13" s="180"/>
      <c r="H13" s="180"/>
      <c r="I13" s="9"/>
      <c r="J13" s="9"/>
      <c r="P13"/>
    </row>
    <row r="14" spans="2:16" ht="15.75">
      <c r="B14" s="180"/>
      <c r="C14" s="180"/>
      <c r="D14" s="525" t="s">
        <v>199</v>
      </c>
      <c r="E14" s="525"/>
      <c r="F14" s="525"/>
      <c r="G14" s="525"/>
      <c r="H14" s="525"/>
      <c r="I14" s="525"/>
      <c r="J14" s="525"/>
      <c r="P14"/>
    </row>
    <row r="15" spans="2:16">
      <c r="P15"/>
    </row>
    <row r="16" spans="2:16">
      <c r="C16" s="109" t="s">
        <v>195</v>
      </c>
      <c r="D16" s="110" t="s">
        <v>196</v>
      </c>
      <c r="E16" s="110" t="s">
        <v>197</v>
      </c>
      <c r="F16" s="111" t="s">
        <v>198</v>
      </c>
      <c r="H16" s="36" t="s">
        <v>195</v>
      </c>
      <c r="I16" s="37" t="s">
        <v>196</v>
      </c>
      <c r="J16" s="37" t="s">
        <v>197</v>
      </c>
      <c r="K16" s="38" t="s">
        <v>198</v>
      </c>
      <c r="P16"/>
    </row>
    <row r="17" spans="3:16">
      <c r="C17" s="32" t="s">
        <v>177</v>
      </c>
      <c r="D17" s="2" t="s">
        <v>178</v>
      </c>
      <c r="E17" s="2">
        <v>150</v>
      </c>
      <c r="F17" s="62">
        <v>35000</v>
      </c>
      <c r="H17" s="43" t="s">
        <v>177</v>
      </c>
      <c r="I17" s="44" t="s">
        <v>178</v>
      </c>
      <c r="J17" s="71">
        <v>150</v>
      </c>
      <c r="K17" s="64">
        <v>35000</v>
      </c>
      <c r="P17"/>
    </row>
    <row r="18" spans="3:16">
      <c r="C18" s="32" t="s">
        <v>177</v>
      </c>
      <c r="D18" s="2" t="s">
        <v>180</v>
      </c>
      <c r="E18" s="2">
        <v>120</v>
      </c>
      <c r="F18" s="62">
        <v>25000</v>
      </c>
      <c r="H18" s="47" t="s">
        <v>177</v>
      </c>
      <c r="I18" s="48" t="s">
        <v>180</v>
      </c>
      <c r="J18" s="72">
        <v>120</v>
      </c>
      <c r="K18" s="65">
        <v>25000</v>
      </c>
    </row>
    <row r="19" spans="3:16">
      <c r="C19" s="32" t="s">
        <v>177</v>
      </c>
      <c r="D19" s="2" t="s">
        <v>182</v>
      </c>
      <c r="E19" s="2">
        <v>80</v>
      </c>
      <c r="F19" s="62">
        <v>12000</v>
      </c>
      <c r="H19" s="43" t="s">
        <v>177</v>
      </c>
      <c r="I19" s="44" t="s">
        <v>182</v>
      </c>
      <c r="J19" s="71">
        <v>80</v>
      </c>
      <c r="K19" s="64">
        <v>12000</v>
      </c>
      <c r="P19" s="8"/>
    </row>
    <row r="20" spans="3:16">
      <c r="C20" s="32" t="s">
        <v>177</v>
      </c>
      <c r="D20" s="2" t="s">
        <v>184</v>
      </c>
      <c r="E20" s="2">
        <v>100</v>
      </c>
      <c r="F20" s="62">
        <v>20000</v>
      </c>
      <c r="H20" s="47" t="s">
        <v>177</v>
      </c>
      <c r="I20" s="48" t="s">
        <v>184</v>
      </c>
      <c r="J20" s="72">
        <v>100</v>
      </c>
      <c r="K20" s="65">
        <v>7880</v>
      </c>
      <c r="P20" s="8"/>
    </row>
    <row r="21" spans="3:16">
      <c r="C21" s="32" t="s">
        <v>177</v>
      </c>
      <c r="D21" s="2" t="s">
        <v>186</v>
      </c>
      <c r="E21" s="2">
        <v>140</v>
      </c>
      <c r="F21" s="62">
        <v>32000</v>
      </c>
      <c r="H21" s="43" t="s">
        <v>177</v>
      </c>
      <c r="I21" s="44" t="s">
        <v>186</v>
      </c>
      <c r="J21" s="71">
        <v>140</v>
      </c>
      <c r="K21" s="64">
        <v>32000</v>
      </c>
      <c r="P21" s="8"/>
    </row>
    <row r="22" spans="3:16">
      <c r="C22" s="32" t="s">
        <v>177</v>
      </c>
      <c r="D22" s="2" t="s">
        <v>187</v>
      </c>
      <c r="E22" s="2">
        <v>110</v>
      </c>
      <c r="F22" s="62">
        <v>18000</v>
      </c>
      <c r="H22" s="47" t="s">
        <v>177</v>
      </c>
      <c r="I22" s="48" t="s">
        <v>187</v>
      </c>
      <c r="J22" s="72">
        <v>110</v>
      </c>
      <c r="K22" s="65">
        <v>18000</v>
      </c>
      <c r="P22" s="8"/>
    </row>
    <row r="23" spans="3:16">
      <c r="C23" s="32" t="s">
        <v>177</v>
      </c>
      <c r="D23" s="2" t="s">
        <v>188</v>
      </c>
      <c r="E23" s="2">
        <v>70</v>
      </c>
      <c r="F23" s="62">
        <v>10000</v>
      </c>
      <c r="H23" s="43" t="s">
        <v>177</v>
      </c>
      <c r="I23" s="44" t="s">
        <v>188</v>
      </c>
      <c r="J23" s="71">
        <v>70</v>
      </c>
      <c r="K23" s="64">
        <v>10000</v>
      </c>
      <c r="P23" s="8"/>
    </row>
    <row r="24" spans="3:16">
      <c r="C24" s="32" t="s">
        <v>177</v>
      </c>
      <c r="D24" s="2" t="s">
        <v>189</v>
      </c>
      <c r="E24" s="2">
        <v>90</v>
      </c>
      <c r="F24" s="62">
        <v>15500</v>
      </c>
      <c r="H24" s="47" t="s">
        <v>177</v>
      </c>
      <c r="I24" s="48" t="s">
        <v>189</v>
      </c>
      <c r="J24" s="72">
        <v>90</v>
      </c>
      <c r="K24" s="65">
        <v>15500</v>
      </c>
      <c r="P24" s="8"/>
    </row>
    <row r="25" spans="3:16">
      <c r="C25" s="32" t="s">
        <v>177</v>
      </c>
      <c r="D25" s="2" t="s">
        <v>190</v>
      </c>
      <c r="E25" s="2">
        <v>130</v>
      </c>
      <c r="F25" s="62">
        <v>28000</v>
      </c>
      <c r="H25" s="43" t="s">
        <v>177</v>
      </c>
      <c r="I25" s="44" t="s">
        <v>190</v>
      </c>
      <c r="J25" s="71">
        <v>130</v>
      </c>
      <c r="K25" s="64">
        <v>28000</v>
      </c>
      <c r="P25" s="8"/>
    </row>
    <row r="26" spans="3:16">
      <c r="C26" s="32" t="s">
        <v>177</v>
      </c>
      <c r="D26" s="2" t="s">
        <v>191</v>
      </c>
      <c r="E26" s="2">
        <v>60</v>
      </c>
      <c r="F26" s="62">
        <v>8000</v>
      </c>
      <c r="H26" s="47" t="s">
        <v>177</v>
      </c>
      <c r="I26" s="48" t="s">
        <v>191</v>
      </c>
      <c r="J26" s="72">
        <v>60</v>
      </c>
      <c r="K26" s="65">
        <v>8000</v>
      </c>
      <c r="P26" s="8"/>
    </row>
    <row r="27" spans="3:16">
      <c r="C27" s="32" t="s">
        <v>179</v>
      </c>
      <c r="D27" s="2" t="s">
        <v>178</v>
      </c>
      <c r="E27" s="2">
        <v>160</v>
      </c>
      <c r="F27" s="62">
        <v>38000</v>
      </c>
      <c r="H27" s="43" t="s">
        <v>179</v>
      </c>
      <c r="I27" s="44" t="s">
        <v>178</v>
      </c>
      <c r="J27" s="71">
        <v>160</v>
      </c>
      <c r="K27" s="64">
        <v>38000</v>
      </c>
      <c r="P27" s="8"/>
    </row>
    <row r="28" spans="3:16">
      <c r="C28" s="32" t="s">
        <v>179</v>
      </c>
      <c r="D28" s="2" t="s">
        <v>180</v>
      </c>
      <c r="E28" s="2">
        <v>130</v>
      </c>
      <c r="F28" s="62">
        <v>26000</v>
      </c>
      <c r="H28" s="47" t="s">
        <v>179</v>
      </c>
      <c r="I28" s="48" t="s">
        <v>180</v>
      </c>
      <c r="J28" s="72">
        <v>130</v>
      </c>
      <c r="K28" s="65">
        <v>26000</v>
      </c>
      <c r="P28" s="8"/>
    </row>
    <row r="29" spans="3:16">
      <c r="C29" s="32" t="s">
        <v>179</v>
      </c>
      <c r="D29" s="2" t="s">
        <v>182</v>
      </c>
      <c r="E29" s="2">
        <v>85</v>
      </c>
      <c r="F29" s="62">
        <v>13000</v>
      </c>
      <c r="H29" s="43" t="s">
        <v>179</v>
      </c>
      <c r="I29" s="44" t="s">
        <v>182</v>
      </c>
      <c r="J29" s="71">
        <v>85</v>
      </c>
      <c r="K29" s="64">
        <v>13000</v>
      </c>
      <c r="P29" s="8"/>
    </row>
    <row r="30" spans="3:16">
      <c r="C30" s="32" t="s">
        <v>179</v>
      </c>
      <c r="D30" s="2" t="s">
        <v>184</v>
      </c>
      <c r="E30" s="2">
        <v>105</v>
      </c>
      <c r="F30" s="62">
        <v>22000</v>
      </c>
      <c r="H30" s="47" t="s">
        <v>179</v>
      </c>
      <c r="I30" s="48" t="s">
        <v>184</v>
      </c>
      <c r="J30" s="72">
        <v>105</v>
      </c>
      <c r="K30" s="65">
        <v>22000</v>
      </c>
      <c r="P30" s="8"/>
    </row>
    <row r="31" spans="3:16">
      <c r="C31" s="32" t="s">
        <v>179</v>
      </c>
      <c r="D31" s="2" t="s">
        <v>186</v>
      </c>
      <c r="E31" s="2">
        <v>145</v>
      </c>
      <c r="F31" s="62">
        <v>33000</v>
      </c>
      <c r="H31" s="43" t="s">
        <v>179</v>
      </c>
      <c r="I31" s="44" t="s">
        <v>186</v>
      </c>
      <c r="J31" s="71">
        <v>145</v>
      </c>
      <c r="K31" s="64">
        <v>6700</v>
      </c>
      <c r="P31" s="8"/>
    </row>
    <row r="32" spans="3:16">
      <c r="C32" s="32" t="s">
        <v>179</v>
      </c>
      <c r="D32" s="2" t="s">
        <v>187</v>
      </c>
      <c r="E32" s="2">
        <v>115</v>
      </c>
      <c r="F32" s="62">
        <v>19000</v>
      </c>
      <c r="H32" s="47" t="s">
        <v>179</v>
      </c>
      <c r="I32" s="48" t="s">
        <v>187</v>
      </c>
      <c r="J32" s="72">
        <v>115</v>
      </c>
      <c r="K32" s="65">
        <v>19000</v>
      </c>
      <c r="P32" s="8"/>
    </row>
    <row r="33" spans="3:16">
      <c r="C33" s="32" t="s">
        <v>179</v>
      </c>
      <c r="D33" s="2" t="s">
        <v>188</v>
      </c>
      <c r="E33" s="2">
        <v>75</v>
      </c>
      <c r="F33" s="62">
        <v>11000</v>
      </c>
      <c r="H33" s="43" t="s">
        <v>179</v>
      </c>
      <c r="I33" s="44" t="s">
        <v>188</v>
      </c>
      <c r="J33" s="71">
        <v>75</v>
      </c>
      <c r="K33" s="64">
        <v>11000</v>
      </c>
      <c r="P33" s="20"/>
    </row>
    <row r="34" spans="3:16">
      <c r="C34" s="32" t="s">
        <v>179</v>
      </c>
      <c r="D34" s="2" t="s">
        <v>189</v>
      </c>
      <c r="E34" s="2">
        <v>95</v>
      </c>
      <c r="F34" s="62">
        <v>16000</v>
      </c>
      <c r="H34" s="47" t="s">
        <v>179</v>
      </c>
      <c r="I34" s="48" t="s">
        <v>189</v>
      </c>
      <c r="J34" s="72">
        <v>95</v>
      </c>
      <c r="K34" s="65">
        <v>16000</v>
      </c>
      <c r="P34" s="8"/>
    </row>
    <row r="35" spans="3:16">
      <c r="C35" s="32" t="s">
        <v>179</v>
      </c>
      <c r="D35" s="2" t="s">
        <v>190</v>
      </c>
      <c r="E35" s="2">
        <v>135</v>
      </c>
      <c r="F35" s="62">
        <v>29000</v>
      </c>
      <c r="H35" s="43" t="s">
        <v>179</v>
      </c>
      <c r="I35" s="44" t="s">
        <v>190</v>
      </c>
      <c r="J35" s="71">
        <v>135</v>
      </c>
      <c r="K35" s="64">
        <v>29000</v>
      </c>
      <c r="P35" s="8"/>
    </row>
    <row r="36" spans="3:16">
      <c r="C36" s="32" t="s">
        <v>179</v>
      </c>
      <c r="D36" s="2" t="s">
        <v>191</v>
      </c>
      <c r="E36" s="2">
        <v>65</v>
      </c>
      <c r="F36" s="62">
        <v>9000</v>
      </c>
      <c r="H36" s="47" t="s">
        <v>179</v>
      </c>
      <c r="I36" s="48" t="s">
        <v>191</v>
      </c>
      <c r="J36" s="72">
        <v>65</v>
      </c>
      <c r="K36" s="65">
        <v>9000</v>
      </c>
      <c r="P36" s="8"/>
    </row>
    <row r="37" spans="3:16">
      <c r="C37" s="32" t="s">
        <v>181</v>
      </c>
      <c r="D37" s="2" t="s">
        <v>178</v>
      </c>
      <c r="E37" s="2">
        <v>170</v>
      </c>
      <c r="F37" s="62">
        <v>40000</v>
      </c>
      <c r="H37" s="43" t="s">
        <v>181</v>
      </c>
      <c r="I37" s="44" t="s">
        <v>178</v>
      </c>
      <c r="J37" s="71">
        <v>170</v>
      </c>
      <c r="K37" s="64">
        <v>40000</v>
      </c>
      <c r="P37" s="8"/>
    </row>
    <row r="38" spans="3:16">
      <c r="C38" s="32" t="s">
        <v>181</v>
      </c>
      <c r="D38" s="2" t="s">
        <v>180</v>
      </c>
      <c r="E38" s="2">
        <v>140</v>
      </c>
      <c r="F38" s="62">
        <v>27000</v>
      </c>
      <c r="H38" s="47" t="s">
        <v>181</v>
      </c>
      <c r="I38" s="48" t="s">
        <v>180</v>
      </c>
      <c r="J38" s="72">
        <v>140</v>
      </c>
      <c r="K38" s="65">
        <v>27000</v>
      </c>
      <c r="P38" s="8"/>
    </row>
    <row r="39" spans="3:16">
      <c r="C39" s="32" t="s">
        <v>181</v>
      </c>
      <c r="D39" s="2" t="s">
        <v>182</v>
      </c>
      <c r="E39" s="2">
        <v>90</v>
      </c>
      <c r="F39" s="62">
        <v>14000</v>
      </c>
      <c r="H39" s="43" t="s">
        <v>181</v>
      </c>
      <c r="I39" s="44" t="s">
        <v>182</v>
      </c>
      <c r="J39" s="71">
        <v>90</v>
      </c>
      <c r="K39" s="64">
        <v>14000</v>
      </c>
      <c r="P39" s="8"/>
    </row>
    <row r="40" spans="3:16">
      <c r="C40" s="32" t="s">
        <v>181</v>
      </c>
      <c r="D40" s="2" t="s">
        <v>184</v>
      </c>
      <c r="E40" s="2">
        <v>110</v>
      </c>
      <c r="F40" s="62">
        <v>23000</v>
      </c>
      <c r="H40" s="47" t="s">
        <v>181</v>
      </c>
      <c r="I40" s="48" t="s">
        <v>184</v>
      </c>
      <c r="J40" s="72">
        <v>110</v>
      </c>
      <c r="K40" s="65">
        <v>23000</v>
      </c>
      <c r="P40" s="8"/>
    </row>
    <row r="41" spans="3:16">
      <c r="C41" s="32" t="s">
        <v>181</v>
      </c>
      <c r="D41" s="2" t="s">
        <v>186</v>
      </c>
      <c r="E41" s="2">
        <v>150</v>
      </c>
      <c r="F41" s="62">
        <v>34000</v>
      </c>
      <c r="H41" s="43" t="s">
        <v>181</v>
      </c>
      <c r="I41" s="44" t="s">
        <v>186</v>
      </c>
      <c r="J41" s="71">
        <v>150</v>
      </c>
      <c r="K41" s="64">
        <v>34000</v>
      </c>
      <c r="P41" s="8"/>
    </row>
    <row r="42" spans="3:16">
      <c r="C42" s="32" t="s">
        <v>181</v>
      </c>
      <c r="D42" s="2" t="s">
        <v>187</v>
      </c>
      <c r="E42" s="2">
        <v>120</v>
      </c>
      <c r="F42" s="62">
        <v>20000</v>
      </c>
      <c r="H42" s="47" t="s">
        <v>181</v>
      </c>
      <c r="I42" s="48" t="s">
        <v>187</v>
      </c>
      <c r="J42" s="72">
        <v>120</v>
      </c>
      <c r="K42" s="65">
        <v>4224</v>
      </c>
      <c r="P42" s="8"/>
    </row>
    <row r="43" spans="3:16">
      <c r="C43" s="32" t="s">
        <v>181</v>
      </c>
      <c r="D43" s="2" t="s">
        <v>188</v>
      </c>
      <c r="E43" s="2">
        <v>80</v>
      </c>
      <c r="F43" s="62">
        <v>12000</v>
      </c>
      <c r="H43" s="43" t="s">
        <v>181</v>
      </c>
      <c r="I43" s="44" t="s">
        <v>188</v>
      </c>
      <c r="J43" s="71">
        <v>80</v>
      </c>
      <c r="K43" s="64">
        <v>12000</v>
      </c>
      <c r="P43" s="8"/>
    </row>
    <row r="44" spans="3:16">
      <c r="C44" s="32" t="s">
        <v>181</v>
      </c>
      <c r="D44" s="2" t="s">
        <v>189</v>
      </c>
      <c r="E44" s="2">
        <v>100</v>
      </c>
      <c r="F44" s="62">
        <v>17000</v>
      </c>
      <c r="H44" s="47" t="s">
        <v>181</v>
      </c>
      <c r="I44" s="48" t="s">
        <v>189</v>
      </c>
      <c r="J44" s="72">
        <v>100</v>
      </c>
      <c r="K44" s="65">
        <v>17000</v>
      </c>
      <c r="P44" s="8"/>
    </row>
    <row r="45" spans="3:16">
      <c r="C45" s="32" t="s">
        <v>181</v>
      </c>
      <c r="D45" s="2" t="s">
        <v>190</v>
      </c>
      <c r="E45" s="2">
        <v>140</v>
      </c>
      <c r="F45" s="62">
        <v>30000</v>
      </c>
      <c r="H45" s="43" t="s">
        <v>181</v>
      </c>
      <c r="I45" s="44" t="s">
        <v>190</v>
      </c>
      <c r="J45" s="71">
        <v>140</v>
      </c>
      <c r="K45" s="64">
        <v>30000</v>
      </c>
      <c r="P45" s="8"/>
    </row>
    <row r="46" spans="3:16">
      <c r="C46" s="32" t="s">
        <v>181</v>
      </c>
      <c r="D46" s="2" t="s">
        <v>191</v>
      </c>
      <c r="E46" s="2">
        <v>70</v>
      </c>
      <c r="F46" s="62">
        <v>10000</v>
      </c>
      <c r="H46" s="47" t="s">
        <v>181</v>
      </c>
      <c r="I46" s="48" t="s">
        <v>191</v>
      </c>
      <c r="J46" s="72">
        <v>70</v>
      </c>
      <c r="K46" s="65">
        <v>10000</v>
      </c>
      <c r="P46" s="8"/>
    </row>
    <row r="47" spans="3:16">
      <c r="C47" s="32" t="s">
        <v>183</v>
      </c>
      <c r="D47" s="2" t="s">
        <v>178</v>
      </c>
      <c r="E47" s="2">
        <v>180</v>
      </c>
      <c r="F47" s="62">
        <v>42000</v>
      </c>
      <c r="H47" s="43" t="s">
        <v>183</v>
      </c>
      <c r="I47" s="44" t="s">
        <v>178</v>
      </c>
      <c r="J47" s="71">
        <v>180</v>
      </c>
      <c r="K47" s="64">
        <v>42000</v>
      </c>
      <c r="P47" s="8"/>
    </row>
    <row r="48" spans="3:16">
      <c r="C48" s="32" t="s">
        <v>183</v>
      </c>
      <c r="D48" s="2" t="s">
        <v>180</v>
      </c>
      <c r="E48" s="2">
        <v>150</v>
      </c>
      <c r="F48" s="62">
        <v>28000</v>
      </c>
      <c r="H48" s="47" t="s">
        <v>183</v>
      </c>
      <c r="I48" s="48" t="s">
        <v>180</v>
      </c>
      <c r="J48" s="72">
        <v>150</v>
      </c>
      <c r="K48" s="65">
        <v>28000</v>
      </c>
      <c r="P48" s="8"/>
    </row>
    <row r="49" spans="3:16">
      <c r="C49" s="32" t="s">
        <v>183</v>
      </c>
      <c r="D49" s="2" t="s">
        <v>182</v>
      </c>
      <c r="E49" s="2">
        <v>95</v>
      </c>
      <c r="F49" s="62">
        <v>15000</v>
      </c>
      <c r="H49" s="43" t="s">
        <v>183</v>
      </c>
      <c r="I49" s="44" t="s">
        <v>182</v>
      </c>
      <c r="J49" s="71">
        <v>95</v>
      </c>
      <c r="K49" s="64">
        <v>15000</v>
      </c>
      <c r="P49" s="8"/>
    </row>
    <row r="50" spans="3:16">
      <c r="C50" s="32" t="s">
        <v>183</v>
      </c>
      <c r="D50" s="2" t="s">
        <v>184</v>
      </c>
      <c r="E50" s="2">
        <v>115</v>
      </c>
      <c r="F50" s="62">
        <v>24000</v>
      </c>
      <c r="H50" s="47" t="s">
        <v>183</v>
      </c>
      <c r="I50" s="48" t="s">
        <v>184</v>
      </c>
      <c r="J50" s="72">
        <v>115</v>
      </c>
      <c r="K50" s="65">
        <v>5600</v>
      </c>
      <c r="P50" s="8"/>
    </row>
    <row r="51" spans="3:16">
      <c r="C51" s="32" t="s">
        <v>183</v>
      </c>
      <c r="D51" s="2" t="s">
        <v>186</v>
      </c>
      <c r="E51" s="2">
        <v>155</v>
      </c>
      <c r="F51" s="62">
        <v>35000</v>
      </c>
      <c r="H51" s="43" t="s">
        <v>183</v>
      </c>
      <c r="I51" s="44" t="s">
        <v>186</v>
      </c>
      <c r="J51" s="71">
        <v>155</v>
      </c>
      <c r="K51" s="64">
        <v>35678</v>
      </c>
      <c r="P51" s="8"/>
    </row>
    <row r="52" spans="3:16">
      <c r="C52" s="32" t="s">
        <v>183</v>
      </c>
      <c r="D52" s="2" t="s">
        <v>187</v>
      </c>
      <c r="E52" s="2">
        <v>125</v>
      </c>
      <c r="F52" s="62">
        <v>21000</v>
      </c>
      <c r="H52" s="47" t="s">
        <v>183</v>
      </c>
      <c r="I52" s="48" t="s">
        <v>187</v>
      </c>
      <c r="J52" s="72">
        <v>125</v>
      </c>
      <c r="K52" s="65">
        <v>21000</v>
      </c>
      <c r="P52" s="8"/>
    </row>
    <row r="53" spans="3:16">
      <c r="C53" s="32" t="s">
        <v>183</v>
      </c>
      <c r="D53" s="2" t="s">
        <v>188</v>
      </c>
      <c r="E53" s="2">
        <v>85</v>
      </c>
      <c r="F53" s="62">
        <v>13000</v>
      </c>
      <c r="H53" s="43" t="s">
        <v>183</v>
      </c>
      <c r="I53" s="44" t="s">
        <v>188</v>
      </c>
      <c r="J53" s="71">
        <v>85</v>
      </c>
      <c r="K53" s="64">
        <v>13000</v>
      </c>
      <c r="P53" s="8"/>
    </row>
    <row r="54" spans="3:16">
      <c r="C54" s="32" t="s">
        <v>183</v>
      </c>
      <c r="D54" s="2" t="s">
        <v>189</v>
      </c>
      <c r="E54" s="2">
        <v>105</v>
      </c>
      <c r="F54" s="62">
        <v>18000</v>
      </c>
      <c r="H54" s="47" t="s">
        <v>183</v>
      </c>
      <c r="I54" s="48" t="s">
        <v>189</v>
      </c>
      <c r="J54" s="72">
        <v>105</v>
      </c>
      <c r="K54" s="65">
        <v>2385</v>
      </c>
      <c r="P54" s="8"/>
    </row>
    <row r="55" spans="3:16">
      <c r="C55" s="32" t="s">
        <v>183</v>
      </c>
      <c r="D55" s="2" t="s">
        <v>190</v>
      </c>
      <c r="E55" s="2">
        <v>145</v>
      </c>
      <c r="F55" s="62">
        <v>31000</v>
      </c>
      <c r="H55" s="43" t="s">
        <v>183</v>
      </c>
      <c r="I55" s="44" t="s">
        <v>190</v>
      </c>
      <c r="J55" s="71">
        <v>145</v>
      </c>
      <c r="K55" s="64">
        <v>31000</v>
      </c>
      <c r="P55" s="8"/>
    </row>
    <row r="56" spans="3:16">
      <c r="C56" s="32" t="s">
        <v>183</v>
      </c>
      <c r="D56" s="2" t="s">
        <v>191</v>
      </c>
      <c r="E56" s="2">
        <v>75</v>
      </c>
      <c r="F56" s="62">
        <v>11000</v>
      </c>
      <c r="H56" s="47" t="s">
        <v>183</v>
      </c>
      <c r="I56" s="48" t="s">
        <v>191</v>
      </c>
      <c r="J56" s="72">
        <v>75</v>
      </c>
      <c r="K56" s="65">
        <v>4999</v>
      </c>
      <c r="P56" s="8"/>
    </row>
    <row r="57" spans="3:16">
      <c r="C57" s="32" t="s">
        <v>185</v>
      </c>
      <c r="D57" s="2" t="s">
        <v>178</v>
      </c>
      <c r="E57" s="2">
        <v>190</v>
      </c>
      <c r="F57" s="62">
        <v>44000</v>
      </c>
      <c r="H57" s="43" t="s">
        <v>185</v>
      </c>
      <c r="I57" s="44" t="s">
        <v>178</v>
      </c>
      <c r="J57" s="71">
        <v>190</v>
      </c>
      <c r="K57" s="64">
        <v>44000</v>
      </c>
      <c r="P57" s="8"/>
    </row>
    <row r="58" spans="3:16">
      <c r="C58" s="32" t="s">
        <v>185</v>
      </c>
      <c r="D58" s="2" t="s">
        <v>180</v>
      </c>
      <c r="E58" s="2">
        <v>160</v>
      </c>
      <c r="F58" s="62">
        <v>29000</v>
      </c>
      <c r="H58" s="47" t="s">
        <v>185</v>
      </c>
      <c r="I58" s="48" t="s">
        <v>180</v>
      </c>
      <c r="J58" s="72">
        <v>160</v>
      </c>
      <c r="K58" s="65">
        <v>29000</v>
      </c>
      <c r="P58" s="8"/>
    </row>
    <row r="59" spans="3:16">
      <c r="C59" s="32" t="s">
        <v>185</v>
      </c>
      <c r="D59" s="2" t="s">
        <v>182</v>
      </c>
      <c r="E59" s="2">
        <v>100</v>
      </c>
      <c r="F59" s="62">
        <v>16000</v>
      </c>
      <c r="H59" s="43" t="s">
        <v>185</v>
      </c>
      <c r="I59" s="44" t="s">
        <v>182</v>
      </c>
      <c r="J59" s="71">
        <v>100</v>
      </c>
      <c r="K59" s="64">
        <v>16000</v>
      </c>
    </row>
    <row r="60" spans="3:16">
      <c r="C60" s="32" t="s">
        <v>185</v>
      </c>
      <c r="D60" s="2" t="s">
        <v>184</v>
      </c>
      <c r="E60" s="2">
        <v>120</v>
      </c>
      <c r="F60" s="62">
        <v>25000</v>
      </c>
      <c r="H60" s="47" t="s">
        <v>185</v>
      </c>
      <c r="I60" s="48" t="s">
        <v>184</v>
      </c>
      <c r="J60" s="72">
        <v>120</v>
      </c>
      <c r="K60" s="65">
        <v>3550</v>
      </c>
    </row>
    <row r="61" spans="3:16">
      <c r="C61" s="32" t="s">
        <v>185</v>
      </c>
      <c r="D61" s="2" t="s">
        <v>186</v>
      </c>
      <c r="E61" s="2">
        <v>160</v>
      </c>
      <c r="F61" s="62">
        <v>36000</v>
      </c>
      <c r="H61" s="43" t="s">
        <v>185</v>
      </c>
      <c r="I61" s="44" t="s">
        <v>186</v>
      </c>
      <c r="J61" s="71">
        <v>160</v>
      </c>
      <c r="K61" s="64">
        <v>36000</v>
      </c>
    </row>
    <row r="62" spans="3:16">
      <c r="C62" s="32" t="s">
        <v>185</v>
      </c>
      <c r="D62" s="2" t="s">
        <v>187</v>
      </c>
      <c r="E62" s="2">
        <v>130</v>
      </c>
      <c r="F62" s="62">
        <v>22000</v>
      </c>
      <c r="H62" s="47" t="s">
        <v>185</v>
      </c>
      <c r="I62" s="48" t="s">
        <v>187</v>
      </c>
      <c r="J62" s="72">
        <v>130</v>
      </c>
      <c r="K62" s="65">
        <v>22000</v>
      </c>
    </row>
    <row r="63" spans="3:16">
      <c r="C63" s="32" t="s">
        <v>185</v>
      </c>
      <c r="D63" s="2" t="s">
        <v>188</v>
      </c>
      <c r="E63" s="2">
        <v>90</v>
      </c>
      <c r="F63" s="62">
        <v>14000</v>
      </c>
      <c r="H63" s="43" t="s">
        <v>185</v>
      </c>
      <c r="I63" s="44" t="s">
        <v>188</v>
      </c>
      <c r="J63" s="71">
        <v>90</v>
      </c>
      <c r="K63" s="64">
        <v>2999</v>
      </c>
    </row>
    <row r="64" spans="3:16">
      <c r="C64" s="32" t="s">
        <v>185</v>
      </c>
      <c r="D64" s="2" t="s">
        <v>189</v>
      </c>
      <c r="E64" s="2">
        <v>110</v>
      </c>
      <c r="F64" s="62">
        <v>19000</v>
      </c>
      <c r="H64" s="47" t="s">
        <v>185</v>
      </c>
      <c r="I64" s="48" t="s">
        <v>189</v>
      </c>
      <c r="J64" s="72">
        <v>110</v>
      </c>
      <c r="K64" s="65">
        <v>19000</v>
      </c>
    </row>
    <row r="65" spans="3:11">
      <c r="C65" s="32" t="s">
        <v>185</v>
      </c>
      <c r="D65" s="2" t="s">
        <v>190</v>
      </c>
      <c r="E65" s="2">
        <v>150</v>
      </c>
      <c r="F65" s="62">
        <v>32000</v>
      </c>
      <c r="H65" s="43" t="s">
        <v>185</v>
      </c>
      <c r="I65" s="44" t="s">
        <v>190</v>
      </c>
      <c r="J65" s="71">
        <v>150</v>
      </c>
      <c r="K65" s="64">
        <v>32000</v>
      </c>
    </row>
    <row r="66" spans="3:11">
      <c r="C66" s="34" t="s">
        <v>185</v>
      </c>
      <c r="D66" s="35" t="s">
        <v>191</v>
      </c>
      <c r="E66" s="35">
        <v>80</v>
      </c>
      <c r="F66" s="63">
        <v>12000</v>
      </c>
      <c r="H66" s="66" t="s">
        <v>185</v>
      </c>
      <c r="I66" s="67" t="s">
        <v>191</v>
      </c>
      <c r="J66" s="73">
        <v>80</v>
      </c>
      <c r="K66" s="68">
        <v>12000</v>
      </c>
    </row>
    <row r="69" spans="3:11">
      <c r="C69" s="522" t="s">
        <v>428</v>
      </c>
      <c r="D69" s="523"/>
      <c r="E69" s="524"/>
    </row>
    <row r="71" spans="3:11">
      <c r="C71" s="181" t="s">
        <v>413</v>
      </c>
      <c r="D71" s="182" t="s">
        <v>414</v>
      </c>
      <c r="E71" s="183" t="s">
        <v>303</v>
      </c>
      <c r="F71" s="184" t="s">
        <v>415</v>
      </c>
      <c r="H71" s="149" t="s">
        <v>426</v>
      </c>
      <c r="I71" s="193" t="s">
        <v>416</v>
      </c>
    </row>
    <row r="72" spans="3:11">
      <c r="C72" s="185">
        <v>43930</v>
      </c>
      <c r="D72" s="186" t="s">
        <v>416</v>
      </c>
      <c r="E72" s="186" t="s">
        <v>417</v>
      </c>
      <c r="F72" s="187">
        <v>1148</v>
      </c>
      <c r="H72" s="149" t="s">
        <v>427</v>
      </c>
      <c r="I72" s="194">
        <v>300</v>
      </c>
    </row>
    <row r="73" spans="3:11">
      <c r="C73" s="185">
        <v>43977</v>
      </c>
      <c r="D73" s="186" t="s">
        <v>418</v>
      </c>
      <c r="E73" s="186" t="s">
        <v>417</v>
      </c>
      <c r="F73" s="187">
        <v>1530</v>
      </c>
    </row>
    <row r="74" spans="3:11">
      <c r="C74" s="185">
        <v>43806</v>
      </c>
      <c r="D74" s="186" t="s">
        <v>418</v>
      </c>
      <c r="E74" s="186" t="s">
        <v>417</v>
      </c>
      <c r="F74" s="187">
        <v>1423.5</v>
      </c>
    </row>
    <row r="75" spans="3:11">
      <c r="C75" s="185"/>
      <c r="E75" s="188" t="s">
        <v>419</v>
      </c>
      <c r="F75" s="189">
        <f>SUBTOTAL(9,F72:F74)</f>
        <v>4101.5</v>
      </c>
    </row>
    <row r="76" spans="3:11">
      <c r="C76" s="185">
        <v>43774</v>
      </c>
      <c r="D76" s="186" t="s">
        <v>416</v>
      </c>
      <c r="E76" s="186" t="s">
        <v>420</v>
      </c>
      <c r="F76" s="187">
        <v>192.1</v>
      </c>
    </row>
    <row r="77" spans="3:11">
      <c r="C77" s="185">
        <v>44024</v>
      </c>
      <c r="D77" s="186" t="s">
        <v>416</v>
      </c>
      <c r="E77" s="186" t="s">
        <v>420</v>
      </c>
      <c r="F77" s="187">
        <v>351</v>
      </c>
    </row>
    <row r="78" spans="3:11">
      <c r="C78" s="185">
        <v>43984</v>
      </c>
      <c r="D78" s="186" t="s">
        <v>421</v>
      </c>
      <c r="E78" s="186" t="s">
        <v>420</v>
      </c>
      <c r="F78" s="187">
        <v>560.4</v>
      </c>
    </row>
    <row r="79" spans="3:11">
      <c r="C79" s="185"/>
      <c r="E79" s="188" t="s">
        <v>422</v>
      </c>
      <c r="F79" s="189">
        <f>SUBTOTAL(9,F76:F78)</f>
        <v>1103.5</v>
      </c>
    </row>
    <row r="80" spans="3:11">
      <c r="C80" s="185">
        <v>44073</v>
      </c>
      <c r="D80" s="186" t="s">
        <v>416</v>
      </c>
      <c r="E80" s="186" t="s">
        <v>423</v>
      </c>
      <c r="F80" s="187">
        <v>470</v>
      </c>
    </row>
    <row r="81" spans="3:6">
      <c r="C81" s="185">
        <v>44038</v>
      </c>
      <c r="D81" s="186" t="s">
        <v>416</v>
      </c>
      <c r="E81" s="186" t="s">
        <v>423</v>
      </c>
      <c r="F81" s="187">
        <v>17.399999999999999</v>
      </c>
    </row>
    <row r="82" spans="3:6">
      <c r="C82" s="185">
        <v>44098</v>
      </c>
      <c r="D82" s="186" t="s">
        <v>421</v>
      </c>
      <c r="E82" s="186" t="s">
        <v>423</v>
      </c>
      <c r="F82" s="187">
        <v>1405</v>
      </c>
    </row>
    <row r="83" spans="3:6">
      <c r="C83" s="185">
        <v>44134</v>
      </c>
      <c r="D83" s="186" t="s">
        <v>421</v>
      </c>
      <c r="E83" s="186" t="s">
        <v>423</v>
      </c>
      <c r="F83" s="187">
        <v>470</v>
      </c>
    </row>
    <row r="84" spans="3:6">
      <c r="C84" s="185">
        <v>44069</v>
      </c>
      <c r="D84" s="186" t="s">
        <v>421</v>
      </c>
      <c r="E84" s="186" t="s">
        <v>423</v>
      </c>
      <c r="F84" s="187">
        <v>17.399999999999999</v>
      </c>
    </row>
    <row r="85" spans="3:6">
      <c r="C85" s="185">
        <v>44019</v>
      </c>
      <c r="D85" s="186" t="s">
        <v>421</v>
      </c>
      <c r="E85" s="186" t="s">
        <v>423</v>
      </c>
      <c r="F85" s="187">
        <v>747</v>
      </c>
    </row>
    <row r="86" spans="3:6">
      <c r="C86" s="185">
        <v>44008</v>
      </c>
      <c r="D86" s="186" t="s">
        <v>418</v>
      </c>
      <c r="E86" s="186" t="s">
        <v>423</v>
      </c>
      <c r="F86" s="187">
        <v>17.399999999999999</v>
      </c>
    </row>
    <row r="87" spans="3:6">
      <c r="C87" s="185">
        <v>44019</v>
      </c>
      <c r="D87" s="186" t="s">
        <v>418</v>
      </c>
      <c r="E87" s="186" t="s">
        <v>423</v>
      </c>
      <c r="F87" s="187">
        <v>747</v>
      </c>
    </row>
    <row r="88" spans="3:6">
      <c r="C88" s="185"/>
      <c r="E88" s="188" t="s">
        <v>424</v>
      </c>
      <c r="F88" s="189">
        <f>SUBTOTAL(9,F80:F87)</f>
        <v>3891.2000000000003</v>
      </c>
    </row>
    <row r="89" spans="3:6">
      <c r="C89" s="185">
        <v>43848</v>
      </c>
      <c r="D89" s="186" t="s">
        <v>416</v>
      </c>
      <c r="E89" s="186" t="s">
        <v>425</v>
      </c>
      <c r="F89" s="187">
        <v>3194.2</v>
      </c>
    </row>
    <row r="90" spans="3:6">
      <c r="C90" s="185">
        <v>43874</v>
      </c>
      <c r="D90" s="186" t="s">
        <v>416</v>
      </c>
      <c r="E90" s="186" t="s">
        <v>425</v>
      </c>
      <c r="F90" s="187">
        <v>438.43</v>
      </c>
    </row>
    <row r="91" spans="3:6">
      <c r="C91" s="185">
        <v>43817</v>
      </c>
      <c r="D91" s="186" t="s">
        <v>418</v>
      </c>
      <c r="E91" s="186" t="s">
        <v>425</v>
      </c>
      <c r="F91" s="187">
        <v>3194.2</v>
      </c>
    </row>
    <row r="92" spans="3:6">
      <c r="C92" s="190">
        <v>43903</v>
      </c>
      <c r="D92" s="191" t="s">
        <v>418</v>
      </c>
      <c r="E92" s="191" t="s">
        <v>425</v>
      </c>
      <c r="F92" s="192">
        <v>438.43</v>
      </c>
    </row>
    <row r="95" spans="3:6">
      <c r="C95" s="522" t="s">
        <v>429</v>
      </c>
      <c r="D95" s="523"/>
      <c r="E95" s="524"/>
    </row>
    <row r="96" spans="3:6">
      <c r="C96" s="2"/>
    </row>
    <row r="97" spans="3:16">
      <c r="C97" s="10"/>
      <c r="D97" s="11"/>
      <c r="E97" s="195" t="s">
        <v>455</v>
      </c>
      <c r="F97" s="196" t="s">
        <v>456</v>
      </c>
      <c r="G97" s="197" t="s">
        <v>457</v>
      </c>
    </row>
    <row r="98" spans="3:16">
      <c r="C98" s="198" t="s">
        <v>139</v>
      </c>
      <c r="D98" s="199" t="s">
        <v>413</v>
      </c>
      <c r="E98" s="200" t="s">
        <v>430</v>
      </c>
      <c r="F98" s="188" t="s">
        <v>431</v>
      </c>
      <c r="G98" s="201" t="s">
        <v>432</v>
      </c>
      <c r="O98" s="6"/>
      <c r="P98"/>
    </row>
    <row r="99" spans="3:16">
      <c r="C99" s="202" t="s">
        <v>433</v>
      </c>
      <c r="D99" s="203">
        <v>43905</v>
      </c>
      <c r="E99" s="204">
        <v>1038</v>
      </c>
      <c r="F99" s="186">
        <v>179</v>
      </c>
      <c r="G99" s="205">
        <v>98</v>
      </c>
    </row>
    <row r="100" spans="3:16">
      <c r="C100" s="202" t="s">
        <v>434</v>
      </c>
      <c r="D100" s="203">
        <v>43869</v>
      </c>
      <c r="E100" s="204">
        <v>1880</v>
      </c>
      <c r="F100" s="186">
        <v>149</v>
      </c>
      <c r="G100" s="205">
        <v>95</v>
      </c>
    </row>
    <row r="101" spans="3:16">
      <c r="C101" s="202" t="s">
        <v>435</v>
      </c>
      <c r="D101" s="203">
        <v>43855</v>
      </c>
      <c r="E101" s="204">
        <v>821</v>
      </c>
      <c r="F101" s="186">
        <v>385</v>
      </c>
      <c r="G101" s="205">
        <v>146</v>
      </c>
    </row>
    <row r="102" spans="3:16">
      <c r="C102" s="202" t="s">
        <v>436</v>
      </c>
      <c r="D102" s="203">
        <v>43859</v>
      </c>
      <c r="E102" s="204">
        <v>1822</v>
      </c>
      <c r="F102" s="186">
        <v>328</v>
      </c>
      <c r="G102" s="205">
        <v>124</v>
      </c>
    </row>
    <row r="103" spans="3:16">
      <c r="C103" s="202" t="s">
        <v>437</v>
      </c>
      <c r="D103" s="203">
        <v>43871</v>
      </c>
      <c r="E103" s="204">
        <v>1073</v>
      </c>
      <c r="F103" s="186">
        <v>128</v>
      </c>
      <c r="G103" s="205">
        <v>32</v>
      </c>
    </row>
    <row r="104" spans="3:16">
      <c r="C104" s="202" t="s">
        <v>438</v>
      </c>
      <c r="D104" s="203">
        <v>43875</v>
      </c>
      <c r="E104" s="204">
        <v>1881</v>
      </c>
      <c r="F104" s="186">
        <v>376</v>
      </c>
      <c r="G104" s="205">
        <v>58</v>
      </c>
    </row>
    <row r="105" spans="3:16">
      <c r="C105" s="202" t="s">
        <v>439</v>
      </c>
      <c r="D105" s="203">
        <v>43915</v>
      </c>
      <c r="E105" s="204">
        <v>1222</v>
      </c>
      <c r="F105" s="186">
        <v>37</v>
      </c>
      <c r="G105" s="205">
        <v>5</v>
      </c>
    </row>
    <row r="106" spans="3:16">
      <c r="C106" s="202" t="s">
        <v>440</v>
      </c>
      <c r="D106" s="203">
        <v>43895</v>
      </c>
      <c r="E106" s="204">
        <v>945</v>
      </c>
      <c r="F106" s="186">
        <v>265</v>
      </c>
      <c r="G106" s="205">
        <v>47</v>
      </c>
    </row>
    <row r="107" spans="3:16">
      <c r="C107" s="202" t="s">
        <v>441</v>
      </c>
      <c r="D107" s="203">
        <v>43867</v>
      </c>
      <c r="E107" s="204">
        <v>910</v>
      </c>
      <c r="F107" s="186">
        <v>93</v>
      </c>
      <c r="G107" s="205">
        <v>45</v>
      </c>
    </row>
    <row r="108" spans="3:16">
      <c r="C108" s="202" t="s">
        <v>442</v>
      </c>
      <c r="D108" s="203">
        <v>43921</v>
      </c>
      <c r="E108" s="204">
        <v>1233</v>
      </c>
      <c r="F108" s="186">
        <v>415</v>
      </c>
      <c r="G108" s="205">
        <v>59</v>
      </c>
    </row>
    <row r="109" spans="3:16">
      <c r="C109" s="202" t="s">
        <v>443</v>
      </c>
      <c r="D109" s="203">
        <v>43853</v>
      </c>
      <c r="E109" s="204">
        <v>1180</v>
      </c>
      <c r="F109" s="186">
        <v>205</v>
      </c>
      <c r="G109" s="205">
        <v>147</v>
      </c>
    </row>
    <row r="110" spans="3:16">
      <c r="C110" s="202" t="s">
        <v>444</v>
      </c>
      <c r="D110" s="203">
        <v>43861</v>
      </c>
      <c r="E110" s="204">
        <v>1965</v>
      </c>
      <c r="F110" s="186">
        <v>145</v>
      </c>
      <c r="G110" s="205">
        <v>31</v>
      </c>
    </row>
    <row r="111" spans="3:16">
      <c r="C111" s="202" t="s">
        <v>445</v>
      </c>
      <c r="D111" s="203">
        <v>43913</v>
      </c>
      <c r="E111" s="204">
        <v>955</v>
      </c>
      <c r="F111" s="186">
        <v>37</v>
      </c>
      <c r="G111" s="205">
        <v>8</v>
      </c>
    </row>
    <row r="112" spans="3:16">
      <c r="C112" s="202" t="s">
        <v>446</v>
      </c>
      <c r="D112" s="203">
        <v>43899</v>
      </c>
      <c r="E112" s="204">
        <v>781</v>
      </c>
      <c r="F112" s="186">
        <v>85</v>
      </c>
      <c r="G112" s="205">
        <v>33</v>
      </c>
    </row>
    <row r="113" spans="3:8">
      <c r="C113" s="202" t="s">
        <v>447</v>
      </c>
      <c r="D113" s="203">
        <v>43863</v>
      </c>
      <c r="E113" s="204">
        <v>1964</v>
      </c>
      <c r="F113" s="186">
        <v>111</v>
      </c>
      <c r="G113" s="205">
        <v>73</v>
      </c>
    </row>
    <row r="114" spans="3:8">
      <c r="C114" s="202" t="s">
        <v>448</v>
      </c>
      <c r="D114" s="203">
        <v>43911</v>
      </c>
      <c r="E114" s="204">
        <v>1190</v>
      </c>
      <c r="F114" s="186">
        <v>275</v>
      </c>
      <c r="G114" s="205">
        <v>37</v>
      </c>
    </row>
    <row r="115" spans="3:8">
      <c r="C115" s="202" t="s">
        <v>449</v>
      </c>
      <c r="D115" s="203">
        <v>43897</v>
      </c>
      <c r="E115" s="204">
        <v>904</v>
      </c>
      <c r="F115" s="186">
        <v>171</v>
      </c>
      <c r="G115" s="205">
        <v>145</v>
      </c>
    </row>
    <row r="116" spans="3:8">
      <c r="C116" s="202" t="s">
        <v>450</v>
      </c>
      <c r="D116" s="203">
        <v>43901</v>
      </c>
      <c r="E116" s="204">
        <v>936</v>
      </c>
      <c r="F116" s="186">
        <v>279</v>
      </c>
      <c r="G116" s="205">
        <v>109</v>
      </c>
    </row>
    <row r="117" spans="3:8">
      <c r="C117" s="202" t="s">
        <v>451</v>
      </c>
      <c r="D117" s="203">
        <v>43879</v>
      </c>
      <c r="E117" s="204">
        <v>926</v>
      </c>
      <c r="F117" s="186">
        <v>354</v>
      </c>
      <c r="G117" s="205">
        <v>19</v>
      </c>
    </row>
    <row r="118" spans="3:8">
      <c r="C118" s="202" t="s">
        <v>452</v>
      </c>
      <c r="D118" s="203">
        <v>43881</v>
      </c>
      <c r="E118" s="204">
        <v>1775</v>
      </c>
      <c r="F118" s="186">
        <v>66</v>
      </c>
      <c r="G118" s="205">
        <v>12</v>
      </c>
    </row>
    <row r="119" spans="3:8">
      <c r="C119" s="202" t="s">
        <v>453</v>
      </c>
      <c r="D119" s="203">
        <v>43903</v>
      </c>
      <c r="E119" s="204">
        <v>1740</v>
      </c>
      <c r="F119" s="186">
        <v>69</v>
      </c>
      <c r="G119" s="205">
        <v>59</v>
      </c>
    </row>
    <row r="120" spans="3:8">
      <c r="C120" s="206" t="s">
        <v>454</v>
      </c>
      <c r="D120" s="207">
        <v>43857</v>
      </c>
      <c r="E120" s="208">
        <v>1724</v>
      </c>
      <c r="F120" s="191">
        <v>499</v>
      </c>
      <c r="G120" s="209">
        <v>151</v>
      </c>
    </row>
    <row r="123" spans="3:8">
      <c r="C123" s="522" t="s">
        <v>473</v>
      </c>
      <c r="D123" s="523"/>
      <c r="E123" s="524"/>
    </row>
    <row r="125" spans="3:8">
      <c r="C125" s="149" t="s">
        <v>458</v>
      </c>
      <c r="D125" s="9" t="s">
        <v>459</v>
      </c>
      <c r="E125" s="9" t="s">
        <v>460</v>
      </c>
      <c r="F125" s="9" t="s">
        <v>461</v>
      </c>
      <c r="G125" s="9" t="s">
        <v>462</v>
      </c>
      <c r="H125" s="9" t="s">
        <v>463</v>
      </c>
    </row>
    <row r="126" spans="3:8">
      <c r="C126" s="210" t="s">
        <v>464</v>
      </c>
      <c r="D126" s="211">
        <v>96</v>
      </c>
      <c r="E126" s="211">
        <v>97</v>
      </c>
      <c r="F126" s="211">
        <v>90</v>
      </c>
      <c r="G126" s="211">
        <v>82</v>
      </c>
      <c r="H126" s="213">
        <f>(D126+(E126*3)+F126+(G126*3))/8</f>
        <v>90.375</v>
      </c>
    </row>
    <row r="127" spans="3:8">
      <c r="C127" s="210" t="s">
        <v>465</v>
      </c>
      <c r="D127" s="210">
        <v>59</v>
      </c>
      <c r="E127" s="210">
        <v>55</v>
      </c>
      <c r="F127" s="210">
        <v>71</v>
      </c>
      <c r="G127" s="210">
        <v>94</v>
      </c>
      <c r="H127" s="214">
        <f t="shared" ref="H127:H134" si="0">(D127+(E127*3)+F127+(G127*3))/8</f>
        <v>72.125</v>
      </c>
    </row>
    <row r="128" spans="3:8">
      <c r="C128" s="210" t="s">
        <v>466</v>
      </c>
      <c r="D128" s="210">
        <v>69</v>
      </c>
      <c r="E128" s="210">
        <v>71</v>
      </c>
      <c r="F128" s="210">
        <v>98</v>
      </c>
      <c r="G128" s="210">
        <v>98</v>
      </c>
      <c r="H128" s="214">
        <f t="shared" si="0"/>
        <v>84.25</v>
      </c>
    </row>
    <row r="129" spans="3:9">
      <c r="C129" s="210" t="s">
        <v>467</v>
      </c>
      <c r="D129" s="210">
        <v>99</v>
      </c>
      <c r="E129" s="210">
        <v>90</v>
      </c>
      <c r="F129" s="210">
        <v>59</v>
      </c>
      <c r="G129" s="210">
        <v>79</v>
      </c>
      <c r="H129" s="214">
        <f t="shared" si="0"/>
        <v>83.125</v>
      </c>
    </row>
    <row r="130" spans="3:9">
      <c r="C130" s="210" t="s">
        <v>468</v>
      </c>
      <c r="D130" s="210">
        <v>56</v>
      </c>
      <c r="E130" s="210">
        <v>86</v>
      </c>
      <c r="F130" s="210">
        <v>65</v>
      </c>
      <c r="G130" s="210">
        <v>74</v>
      </c>
      <c r="H130" s="214">
        <f t="shared" si="0"/>
        <v>75.125</v>
      </c>
    </row>
    <row r="131" spans="3:9">
      <c r="C131" s="210" t="s">
        <v>469</v>
      </c>
      <c r="D131" s="210">
        <v>57</v>
      </c>
      <c r="E131" s="210">
        <v>61</v>
      </c>
      <c r="F131" s="210">
        <v>84</v>
      </c>
      <c r="G131" s="210">
        <v>67</v>
      </c>
      <c r="H131" s="214">
        <f t="shared" si="0"/>
        <v>65.625</v>
      </c>
    </row>
    <row r="132" spans="3:9">
      <c r="C132" s="210" t="s">
        <v>470</v>
      </c>
      <c r="D132" s="210">
        <v>55</v>
      </c>
      <c r="E132" s="210">
        <v>86</v>
      </c>
      <c r="F132" s="210">
        <v>59</v>
      </c>
      <c r="G132" s="210">
        <v>86</v>
      </c>
      <c r="H132" s="214">
        <f t="shared" si="0"/>
        <v>78.75</v>
      </c>
    </row>
    <row r="133" spans="3:9">
      <c r="C133" s="210" t="s">
        <v>471</v>
      </c>
      <c r="D133" s="210">
        <v>89</v>
      </c>
      <c r="E133" s="210">
        <v>91</v>
      </c>
      <c r="F133" s="210">
        <v>91</v>
      </c>
      <c r="G133" s="210">
        <v>81</v>
      </c>
      <c r="H133" s="214">
        <f t="shared" si="0"/>
        <v>87</v>
      </c>
    </row>
    <row r="134" spans="3:9">
      <c r="C134" s="212" t="s">
        <v>472</v>
      </c>
      <c r="D134" s="212">
        <v>55</v>
      </c>
      <c r="E134" s="212">
        <v>77</v>
      </c>
      <c r="F134" s="212">
        <v>91</v>
      </c>
      <c r="G134" s="212">
        <v>86</v>
      </c>
      <c r="H134" s="215">
        <f t="shared" si="0"/>
        <v>79.375</v>
      </c>
    </row>
    <row r="137" spans="3:9">
      <c r="C137" s="522" t="s">
        <v>513</v>
      </c>
      <c r="D137" s="523"/>
      <c r="E137" s="524"/>
    </row>
    <row r="138" spans="3:9">
      <c r="F138" s="39"/>
    </row>
    <row r="139" spans="3:9">
      <c r="C139" t="s">
        <v>474</v>
      </c>
      <c r="D139" s="216">
        <v>5</v>
      </c>
      <c r="E139" s="217">
        <v>4</v>
      </c>
      <c r="F139" s="218">
        <v>3</v>
      </c>
      <c r="G139" s="219">
        <v>2</v>
      </c>
      <c r="H139" s="220">
        <v>1</v>
      </c>
      <c r="I139" s="221"/>
    </row>
    <row r="140" spans="3:9" ht="30">
      <c r="C140" s="178" t="s">
        <v>414</v>
      </c>
      <c r="D140" s="178" t="s">
        <v>475</v>
      </c>
      <c r="E140" s="178" t="s">
        <v>476</v>
      </c>
      <c r="F140" s="4" t="s">
        <v>477</v>
      </c>
      <c r="G140" s="178" t="s">
        <v>478</v>
      </c>
      <c r="H140" s="4" t="s">
        <v>479</v>
      </c>
      <c r="I140" s="4" t="s">
        <v>480</v>
      </c>
    </row>
    <row r="141" spans="3:9">
      <c r="C141" t="s">
        <v>481</v>
      </c>
      <c r="D141" s="6">
        <v>5</v>
      </c>
      <c r="E141" s="6">
        <v>1</v>
      </c>
      <c r="F141" s="6">
        <v>1</v>
      </c>
      <c r="G141" s="6">
        <v>2</v>
      </c>
      <c r="H141" s="6">
        <v>3</v>
      </c>
      <c r="I141" s="6">
        <f>AVERAGE(D141:H141)</f>
        <v>2.4</v>
      </c>
    </row>
    <row r="142" spans="3:9">
      <c r="C142" t="s">
        <v>482</v>
      </c>
      <c r="D142" s="6">
        <v>4</v>
      </c>
      <c r="E142" s="6">
        <v>3</v>
      </c>
      <c r="F142" s="6">
        <v>3</v>
      </c>
      <c r="G142" s="6">
        <v>5</v>
      </c>
      <c r="H142" s="6">
        <v>4</v>
      </c>
      <c r="I142" s="6">
        <f t="shared" ref="I142:I146" si="1">AVERAGE(D142:H142)</f>
        <v>3.8</v>
      </c>
    </row>
    <row r="143" spans="3:9">
      <c r="C143" t="s">
        <v>483</v>
      </c>
      <c r="D143" s="6">
        <v>3</v>
      </c>
      <c r="E143" s="6">
        <v>3</v>
      </c>
      <c r="F143" s="6">
        <v>3</v>
      </c>
      <c r="G143" s="6">
        <v>3</v>
      </c>
      <c r="H143" s="6">
        <v>2</v>
      </c>
      <c r="I143" s="6">
        <f t="shared" si="1"/>
        <v>2.8</v>
      </c>
    </row>
    <row r="144" spans="3:9">
      <c r="C144" t="s">
        <v>484</v>
      </c>
      <c r="D144" s="6">
        <v>3</v>
      </c>
      <c r="E144" s="6">
        <v>1</v>
      </c>
      <c r="F144" s="6">
        <v>1</v>
      </c>
      <c r="G144" s="6">
        <v>2</v>
      </c>
      <c r="H144" s="6">
        <v>1</v>
      </c>
      <c r="I144" s="6">
        <f t="shared" si="1"/>
        <v>1.6</v>
      </c>
    </row>
    <row r="145" spans="3:9">
      <c r="C145" t="s">
        <v>485</v>
      </c>
      <c r="D145" s="6">
        <v>2</v>
      </c>
      <c r="E145" s="6">
        <v>3</v>
      </c>
      <c r="F145" s="6">
        <v>3</v>
      </c>
      <c r="G145" s="6">
        <v>4</v>
      </c>
      <c r="H145" s="6">
        <v>2</v>
      </c>
      <c r="I145" s="6">
        <f t="shared" si="1"/>
        <v>2.8</v>
      </c>
    </row>
    <row r="146" spans="3:9">
      <c r="C146" t="s">
        <v>486</v>
      </c>
      <c r="D146" s="6">
        <v>3</v>
      </c>
      <c r="E146" s="6">
        <v>2</v>
      </c>
      <c r="F146" s="6">
        <v>2</v>
      </c>
      <c r="G146" s="6">
        <v>1</v>
      </c>
      <c r="H146" s="6">
        <v>5</v>
      </c>
      <c r="I146" s="6">
        <f t="shared" si="1"/>
        <v>2.6</v>
      </c>
    </row>
    <row r="149" spans="3:9">
      <c r="C149" s="522" t="s">
        <v>514</v>
      </c>
      <c r="D149" s="523"/>
      <c r="E149" s="524"/>
    </row>
    <row r="151" spans="3:9">
      <c r="C151" s="178" t="s">
        <v>487</v>
      </c>
      <c r="D151" s="4" t="s">
        <v>488</v>
      </c>
      <c r="E151" s="178" t="s">
        <v>489</v>
      </c>
    </row>
    <row r="152" spans="3:9">
      <c r="C152" t="s">
        <v>322</v>
      </c>
      <c r="D152" s="222">
        <v>5000</v>
      </c>
      <c r="E152" s="223"/>
    </row>
    <row r="153" spans="3:9">
      <c r="C153" t="s">
        <v>323</v>
      </c>
      <c r="D153" s="222">
        <v>7000</v>
      </c>
      <c r="E153" s="223">
        <f>D153-D152</f>
        <v>2000</v>
      </c>
    </row>
    <row r="154" spans="3:9">
      <c r="C154" t="s">
        <v>324</v>
      </c>
      <c r="D154" s="222">
        <v>10000</v>
      </c>
      <c r="E154" s="223">
        <f t="shared" ref="E154:E163" si="2">D154-D153</f>
        <v>3000</v>
      </c>
    </row>
    <row r="155" spans="3:9">
      <c r="C155" t="s">
        <v>325</v>
      </c>
      <c r="D155" s="222">
        <v>2500</v>
      </c>
      <c r="E155" s="223">
        <f t="shared" si="2"/>
        <v>-7500</v>
      </c>
    </row>
    <row r="156" spans="3:9">
      <c r="C156" t="s">
        <v>326</v>
      </c>
      <c r="D156" s="222">
        <v>4000</v>
      </c>
      <c r="E156" s="223">
        <f t="shared" si="2"/>
        <v>1500</v>
      </c>
    </row>
    <row r="157" spans="3:9">
      <c r="C157" t="s">
        <v>327</v>
      </c>
      <c r="D157" s="222">
        <v>9800</v>
      </c>
      <c r="E157" s="223">
        <f t="shared" si="2"/>
        <v>5800</v>
      </c>
    </row>
    <row r="158" spans="3:9">
      <c r="C158" t="s">
        <v>317</v>
      </c>
      <c r="D158" s="222">
        <v>5400</v>
      </c>
      <c r="E158" s="223">
        <f t="shared" si="2"/>
        <v>-4400</v>
      </c>
    </row>
    <row r="159" spans="3:9">
      <c r="C159" t="s">
        <v>318</v>
      </c>
      <c r="D159" s="222">
        <v>6700</v>
      </c>
      <c r="E159" s="223">
        <f t="shared" si="2"/>
        <v>1300</v>
      </c>
    </row>
    <row r="160" spans="3:9">
      <c r="C160" t="s">
        <v>319</v>
      </c>
      <c r="D160" s="222">
        <v>4300</v>
      </c>
      <c r="E160" s="223">
        <f t="shared" si="2"/>
        <v>-2400</v>
      </c>
    </row>
    <row r="161" spans="3:5">
      <c r="C161" t="s">
        <v>320</v>
      </c>
      <c r="D161" s="222">
        <v>11000</v>
      </c>
      <c r="E161" s="223">
        <f t="shared" si="2"/>
        <v>6700</v>
      </c>
    </row>
    <row r="162" spans="3:5">
      <c r="C162" t="s">
        <v>185</v>
      </c>
      <c r="D162" s="222">
        <v>12500</v>
      </c>
      <c r="E162" s="223">
        <f t="shared" si="2"/>
        <v>1500</v>
      </c>
    </row>
    <row r="163" spans="3:5">
      <c r="C163" t="s">
        <v>321</v>
      </c>
      <c r="D163" s="222">
        <v>9800</v>
      </c>
      <c r="E163" s="223">
        <f t="shared" si="2"/>
        <v>-2700</v>
      </c>
    </row>
    <row r="166" spans="3:5">
      <c r="C166" s="522" t="s">
        <v>515</v>
      </c>
      <c r="D166" s="523"/>
      <c r="E166" s="524"/>
    </row>
    <row r="168" spans="3:5">
      <c r="D168" s="224" t="s">
        <v>490</v>
      </c>
    </row>
    <row r="169" spans="3:5">
      <c r="C169" t="s">
        <v>303</v>
      </c>
      <c r="D169" s="6" t="s">
        <v>491</v>
      </c>
    </row>
    <row r="170" spans="3:5">
      <c r="C170" t="s">
        <v>492</v>
      </c>
      <c r="D170" s="223">
        <v>1781345</v>
      </c>
    </row>
    <row r="171" spans="3:5">
      <c r="C171" t="s">
        <v>493</v>
      </c>
      <c r="D171" s="223">
        <v>534389</v>
      </c>
    </row>
    <row r="172" spans="3:5">
      <c r="C172" t="s">
        <v>494</v>
      </c>
      <c r="D172" s="223">
        <v>1009268</v>
      </c>
    </row>
    <row r="173" spans="3:5">
      <c r="C173" t="s">
        <v>495</v>
      </c>
      <c r="D173" s="223">
        <v>899999</v>
      </c>
    </row>
    <row r="174" spans="3:5">
      <c r="C174" t="s">
        <v>496</v>
      </c>
      <c r="D174" s="223">
        <v>2345184</v>
      </c>
    </row>
    <row r="175" spans="3:5">
      <c r="C175" t="s">
        <v>497</v>
      </c>
      <c r="D175" s="223">
        <v>900000</v>
      </c>
    </row>
    <row r="176" spans="3:5">
      <c r="C176" t="s">
        <v>498</v>
      </c>
      <c r="D176" s="223">
        <v>1567090</v>
      </c>
    </row>
    <row r="177" spans="3:9">
      <c r="C177" t="s">
        <v>499</v>
      </c>
      <c r="D177" s="223">
        <v>34678</v>
      </c>
    </row>
    <row r="178" spans="3:9">
      <c r="C178" t="s">
        <v>500</v>
      </c>
      <c r="D178" s="223">
        <f>SUBTOTAL(109,Table6[Sales])</f>
        <v>9071953</v>
      </c>
    </row>
    <row r="181" spans="3:9">
      <c r="C181" s="522" t="s">
        <v>516</v>
      </c>
      <c r="D181" s="523"/>
      <c r="E181" s="524"/>
    </row>
    <row r="183" spans="3:9">
      <c r="C183" s="225" t="s">
        <v>501</v>
      </c>
      <c r="D183" s="226" t="s">
        <v>502</v>
      </c>
      <c r="E183" s="227" t="s">
        <v>416</v>
      </c>
      <c r="F183" s="227" t="s">
        <v>418</v>
      </c>
      <c r="G183" s="227" t="s">
        <v>421</v>
      </c>
      <c r="H183" s="227" t="s">
        <v>503</v>
      </c>
      <c r="I183" s="228" t="s">
        <v>504</v>
      </c>
    </row>
    <row r="184" spans="3:9">
      <c r="C184" s="229" t="s">
        <v>420</v>
      </c>
      <c r="D184" s="230" t="s">
        <v>505</v>
      </c>
      <c r="E184" s="231">
        <v>32726</v>
      </c>
      <c r="F184" s="231">
        <v>38483</v>
      </c>
      <c r="G184" s="231">
        <v>33016</v>
      </c>
      <c r="H184" s="231">
        <v>19474</v>
      </c>
      <c r="I184" s="232">
        <f t="shared" ref="I184:I203" si="3">SUM(E184:H184)</f>
        <v>123699</v>
      </c>
    </row>
    <row r="185" spans="3:9">
      <c r="C185" s="229" t="s">
        <v>420</v>
      </c>
      <c r="D185" s="230" t="s">
        <v>495</v>
      </c>
      <c r="E185" s="231">
        <v>34733</v>
      </c>
      <c r="F185" s="231">
        <v>37971</v>
      </c>
      <c r="G185" s="231">
        <v>32236</v>
      </c>
      <c r="H185" s="231">
        <v>16734</v>
      </c>
      <c r="I185" s="232">
        <f t="shared" si="3"/>
        <v>121674</v>
      </c>
    </row>
    <row r="186" spans="3:9">
      <c r="C186" s="229" t="s">
        <v>506</v>
      </c>
      <c r="D186" s="230" t="s">
        <v>505</v>
      </c>
      <c r="E186" s="231">
        <v>31062</v>
      </c>
      <c r="F186" s="231">
        <v>73611</v>
      </c>
      <c r="G186" s="231">
        <v>61085</v>
      </c>
      <c r="H186" s="231">
        <v>45120</v>
      </c>
      <c r="I186" s="232">
        <f t="shared" si="3"/>
        <v>210878</v>
      </c>
    </row>
    <row r="187" spans="3:9">
      <c r="C187" s="229" t="s">
        <v>506</v>
      </c>
      <c r="D187" s="230" t="s">
        <v>495</v>
      </c>
      <c r="E187" s="231">
        <v>45389</v>
      </c>
      <c r="F187" s="231">
        <v>22189</v>
      </c>
      <c r="G187" s="231">
        <v>22040</v>
      </c>
      <c r="H187" s="231">
        <v>60116</v>
      </c>
      <c r="I187" s="232">
        <f t="shared" si="3"/>
        <v>149734</v>
      </c>
    </row>
    <row r="188" spans="3:9">
      <c r="C188" s="229" t="s">
        <v>507</v>
      </c>
      <c r="D188" s="230" t="s">
        <v>498</v>
      </c>
      <c r="E188" s="231">
        <v>63539</v>
      </c>
      <c r="F188" s="231">
        <v>50602</v>
      </c>
      <c r="G188" s="231">
        <v>25347</v>
      </c>
      <c r="H188" s="231">
        <v>21991</v>
      </c>
      <c r="I188" s="232">
        <f t="shared" si="3"/>
        <v>161479</v>
      </c>
    </row>
    <row r="189" spans="3:9">
      <c r="C189" s="229" t="s">
        <v>507</v>
      </c>
      <c r="D189" s="230" t="s">
        <v>493</v>
      </c>
      <c r="E189" s="231">
        <v>49382</v>
      </c>
      <c r="F189" s="231">
        <v>39100</v>
      </c>
      <c r="G189" s="231">
        <v>55406</v>
      </c>
      <c r="H189" s="231">
        <v>31810</v>
      </c>
      <c r="I189" s="232">
        <f t="shared" si="3"/>
        <v>175698</v>
      </c>
    </row>
    <row r="190" spans="3:9">
      <c r="C190" s="229" t="s">
        <v>508</v>
      </c>
      <c r="D190" s="230" t="s">
        <v>505</v>
      </c>
      <c r="E190" s="231">
        <v>21842</v>
      </c>
      <c r="F190" s="231">
        <v>62310</v>
      </c>
      <c r="G190" s="231">
        <v>42256</v>
      </c>
      <c r="H190" s="231">
        <v>19191</v>
      </c>
      <c r="I190" s="232">
        <f t="shared" si="3"/>
        <v>145599</v>
      </c>
    </row>
    <row r="191" spans="3:9">
      <c r="C191" s="229" t="s">
        <v>508</v>
      </c>
      <c r="D191" s="230" t="s">
        <v>495</v>
      </c>
      <c r="E191" s="231">
        <v>15566</v>
      </c>
      <c r="F191" s="231">
        <v>28321</v>
      </c>
      <c r="G191" s="231">
        <v>21355</v>
      </c>
      <c r="H191" s="231">
        <v>47141</v>
      </c>
      <c r="I191" s="232">
        <f t="shared" si="3"/>
        <v>112383</v>
      </c>
    </row>
    <row r="192" spans="3:9">
      <c r="C192" s="229" t="s">
        <v>417</v>
      </c>
      <c r="D192" s="230" t="s">
        <v>498</v>
      </c>
      <c r="E192" s="231">
        <v>63332</v>
      </c>
      <c r="F192" s="231">
        <v>70239</v>
      </c>
      <c r="G192" s="231">
        <v>61149</v>
      </c>
      <c r="H192" s="231">
        <v>56706</v>
      </c>
      <c r="I192" s="232">
        <f t="shared" si="3"/>
        <v>251426</v>
      </c>
    </row>
    <row r="193" spans="3:9">
      <c r="C193" s="229" t="s">
        <v>417</v>
      </c>
      <c r="D193" s="230" t="s">
        <v>493</v>
      </c>
      <c r="E193" s="231">
        <v>21386</v>
      </c>
      <c r="F193" s="231">
        <v>29939</v>
      </c>
      <c r="G193" s="231">
        <v>63308</v>
      </c>
      <c r="H193" s="231">
        <v>47036</v>
      </c>
      <c r="I193" s="232">
        <f t="shared" si="3"/>
        <v>161669</v>
      </c>
    </row>
    <row r="194" spans="3:9">
      <c r="C194" s="229" t="s">
        <v>425</v>
      </c>
      <c r="D194" s="230" t="s">
        <v>509</v>
      </c>
      <c r="E194" s="231">
        <v>10471</v>
      </c>
      <c r="F194" s="231">
        <v>15781</v>
      </c>
      <c r="G194" s="231">
        <v>44755</v>
      </c>
      <c r="H194" s="231">
        <v>64064</v>
      </c>
      <c r="I194" s="232">
        <f t="shared" si="3"/>
        <v>135071</v>
      </c>
    </row>
    <row r="195" spans="3:9">
      <c r="C195" s="229" t="s">
        <v>425</v>
      </c>
      <c r="D195" s="230" t="s">
        <v>495</v>
      </c>
      <c r="E195" s="231">
        <v>40282</v>
      </c>
      <c r="F195" s="231">
        <v>36045</v>
      </c>
      <c r="G195" s="231">
        <v>35135</v>
      </c>
      <c r="H195" s="231">
        <v>32748</v>
      </c>
      <c r="I195" s="232">
        <f t="shared" si="3"/>
        <v>144210</v>
      </c>
    </row>
    <row r="196" spans="3:9">
      <c r="C196" s="229" t="s">
        <v>423</v>
      </c>
      <c r="D196" s="230" t="s">
        <v>498</v>
      </c>
      <c r="E196" s="231">
        <v>60161</v>
      </c>
      <c r="F196" s="231">
        <v>32055</v>
      </c>
      <c r="G196" s="231">
        <v>24207</v>
      </c>
      <c r="H196" s="231">
        <v>26952</v>
      </c>
      <c r="I196" s="232">
        <f t="shared" si="3"/>
        <v>143375</v>
      </c>
    </row>
    <row r="197" spans="3:9">
      <c r="C197" s="229" t="s">
        <v>423</v>
      </c>
      <c r="D197" s="230" t="s">
        <v>493</v>
      </c>
      <c r="E197" s="231">
        <v>70606</v>
      </c>
      <c r="F197" s="231">
        <v>58763</v>
      </c>
      <c r="G197" s="231">
        <v>65356</v>
      </c>
      <c r="H197" s="231">
        <v>15132</v>
      </c>
      <c r="I197" s="232">
        <f t="shared" si="3"/>
        <v>209857</v>
      </c>
    </row>
    <row r="198" spans="3:9">
      <c r="C198" s="229" t="s">
        <v>510</v>
      </c>
      <c r="D198" s="230" t="s">
        <v>505</v>
      </c>
      <c r="E198" s="231">
        <v>13522</v>
      </c>
      <c r="F198" s="231">
        <v>36363</v>
      </c>
      <c r="G198" s="231">
        <v>24925</v>
      </c>
      <c r="H198" s="231">
        <v>56741</v>
      </c>
      <c r="I198" s="232">
        <f t="shared" si="3"/>
        <v>131551</v>
      </c>
    </row>
    <row r="199" spans="3:9">
      <c r="C199" s="229" t="s">
        <v>510</v>
      </c>
      <c r="D199" s="230" t="s">
        <v>495</v>
      </c>
      <c r="E199" s="231">
        <v>50055</v>
      </c>
      <c r="F199" s="231">
        <v>28828</v>
      </c>
      <c r="G199" s="231">
        <v>28333</v>
      </c>
      <c r="H199" s="231">
        <v>49805</v>
      </c>
      <c r="I199" s="232">
        <f t="shared" si="3"/>
        <v>157021</v>
      </c>
    </row>
    <row r="200" spans="3:9">
      <c r="C200" s="229" t="s">
        <v>511</v>
      </c>
      <c r="D200" s="230" t="s">
        <v>505</v>
      </c>
      <c r="E200" s="231">
        <v>57008</v>
      </c>
      <c r="F200" s="231">
        <v>65101</v>
      </c>
      <c r="G200" s="231">
        <v>73444</v>
      </c>
      <c r="H200" s="231">
        <v>29043</v>
      </c>
      <c r="I200" s="232">
        <f t="shared" si="3"/>
        <v>224596</v>
      </c>
    </row>
    <row r="201" spans="3:9">
      <c r="C201" s="229" t="s">
        <v>511</v>
      </c>
      <c r="D201" s="230" t="s">
        <v>509</v>
      </c>
      <c r="E201" s="231">
        <v>52202</v>
      </c>
      <c r="F201" s="231">
        <v>60639</v>
      </c>
      <c r="G201" s="231">
        <v>38777</v>
      </c>
      <c r="H201" s="231">
        <v>52787</v>
      </c>
      <c r="I201" s="232">
        <f t="shared" si="3"/>
        <v>204405</v>
      </c>
    </row>
    <row r="202" spans="3:9">
      <c r="C202" s="229" t="s">
        <v>512</v>
      </c>
      <c r="D202" s="230" t="s">
        <v>509</v>
      </c>
      <c r="E202" s="231">
        <v>65925</v>
      </c>
      <c r="F202" s="231">
        <v>10865</v>
      </c>
      <c r="G202" s="231">
        <v>41532</v>
      </c>
      <c r="H202" s="231">
        <v>10731</v>
      </c>
      <c r="I202" s="232">
        <f t="shared" si="3"/>
        <v>129053</v>
      </c>
    </row>
    <row r="203" spans="3:9">
      <c r="C203" s="233" t="s">
        <v>512</v>
      </c>
      <c r="D203" s="234" t="s">
        <v>495</v>
      </c>
      <c r="E203" s="235">
        <v>61525</v>
      </c>
      <c r="F203" s="235">
        <v>22930</v>
      </c>
      <c r="G203" s="235">
        <v>10785</v>
      </c>
      <c r="H203" s="235">
        <v>60148</v>
      </c>
      <c r="I203" s="236">
        <f t="shared" si="3"/>
        <v>155388</v>
      </c>
    </row>
    <row r="206" spans="3:9">
      <c r="C206" s="522" t="s">
        <v>930</v>
      </c>
      <c r="D206" s="523"/>
      <c r="E206" s="524"/>
    </row>
    <row r="208" spans="3:9">
      <c r="C208" s="10"/>
      <c r="D208" s="237" t="s">
        <v>517</v>
      </c>
      <c r="E208" s="237" t="s">
        <v>518</v>
      </c>
      <c r="F208" s="237" t="s">
        <v>519</v>
      </c>
      <c r="G208" s="237" t="s">
        <v>520</v>
      </c>
      <c r="H208" s="179" t="s">
        <v>521</v>
      </c>
    </row>
    <row r="209" spans="3:8">
      <c r="C209" s="238" t="s">
        <v>522</v>
      </c>
      <c r="D209" s="239"/>
      <c r="E209" s="239"/>
      <c r="F209" s="239"/>
      <c r="G209" s="239"/>
      <c r="H209" s="240"/>
    </row>
    <row r="210" spans="3:8">
      <c r="C210" s="13" t="s">
        <v>505</v>
      </c>
      <c r="D210" s="241">
        <v>55</v>
      </c>
      <c r="E210" s="241">
        <v>40</v>
      </c>
      <c r="F210" s="241">
        <v>55</v>
      </c>
      <c r="G210" s="241">
        <v>70</v>
      </c>
      <c r="H210" s="242">
        <f>SUM(D210:G210)</f>
        <v>220</v>
      </c>
    </row>
    <row r="211" spans="3:8">
      <c r="C211" s="13" t="s">
        <v>498</v>
      </c>
      <c r="D211" s="241">
        <v>59</v>
      </c>
      <c r="E211" s="241">
        <v>98</v>
      </c>
      <c r="F211" s="241">
        <v>76</v>
      </c>
      <c r="G211" s="241">
        <v>90</v>
      </c>
      <c r="H211" s="242">
        <f>SUM(D211:G211)</f>
        <v>323</v>
      </c>
    </row>
    <row r="212" spans="3:8">
      <c r="C212" s="13" t="s">
        <v>495</v>
      </c>
      <c r="D212" s="241">
        <v>60</v>
      </c>
      <c r="E212" s="241">
        <v>46</v>
      </c>
      <c r="F212" s="241">
        <v>86</v>
      </c>
      <c r="G212" s="241">
        <v>78</v>
      </c>
      <c r="H212" s="242">
        <f>SUM(D212:G212)</f>
        <v>270</v>
      </c>
    </row>
    <row r="213" spans="3:8">
      <c r="C213" s="13" t="s">
        <v>493</v>
      </c>
      <c r="D213" s="241">
        <v>90</v>
      </c>
      <c r="E213" s="241">
        <v>65</v>
      </c>
      <c r="F213" s="241">
        <v>82</v>
      </c>
      <c r="G213" s="241">
        <v>45</v>
      </c>
      <c r="H213" s="242">
        <f>SUM(D213:G213)</f>
        <v>282</v>
      </c>
    </row>
    <row r="214" spans="3:8">
      <c r="C214" s="238" t="s">
        <v>523</v>
      </c>
      <c r="D214" s="239"/>
      <c r="E214" s="239"/>
      <c r="F214" s="239"/>
      <c r="G214" s="239"/>
      <c r="H214" s="240"/>
    </row>
    <row r="215" spans="3:8">
      <c r="C215" s="13" t="s">
        <v>505</v>
      </c>
      <c r="D215" s="241">
        <v>47</v>
      </c>
      <c r="E215" s="241">
        <v>81</v>
      </c>
      <c r="F215" s="241">
        <v>54</v>
      </c>
      <c r="G215" s="241">
        <v>61</v>
      </c>
      <c r="H215" s="242">
        <f>SUM(D215:G215)</f>
        <v>243</v>
      </c>
    </row>
    <row r="216" spans="3:8">
      <c r="C216" s="13" t="s">
        <v>498</v>
      </c>
      <c r="D216" s="241">
        <v>89</v>
      </c>
      <c r="E216" s="241">
        <v>63</v>
      </c>
      <c r="F216" s="241">
        <v>71</v>
      </c>
      <c r="G216" s="241">
        <v>58</v>
      </c>
      <c r="H216" s="242">
        <f t="shared" ref="H216:H218" si="4">SUM(D216:G216)</f>
        <v>281</v>
      </c>
    </row>
    <row r="217" spans="3:8">
      <c r="C217" s="13" t="s">
        <v>495</v>
      </c>
      <c r="D217" s="241">
        <v>61</v>
      </c>
      <c r="E217" s="241">
        <v>49</v>
      </c>
      <c r="F217" s="241">
        <v>88</v>
      </c>
      <c r="G217" s="241">
        <v>86</v>
      </c>
      <c r="H217" s="242">
        <f t="shared" si="4"/>
        <v>284</v>
      </c>
    </row>
    <row r="218" spans="3:8">
      <c r="C218" s="13" t="s">
        <v>493</v>
      </c>
      <c r="D218" s="241">
        <v>54</v>
      </c>
      <c r="E218" s="241">
        <v>64</v>
      </c>
      <c r="F218" s="241">
        <v>91</v>
      </c>
      <c r="G218" s="241">
        <v>73</v>
      </c>
      <c r="H218" s="242">
        <f t="shared" si="4"/>
        <v>282</v>
      </c>
    </row>
    <row r="219" spans="3:8">
      <c r="C219" s="238" t="s">
        <v>524</v>
      </c>
      <c r="D219" s="239"/>
      <c r="E219" s="239"/>
      <c r="F219" s="239"/>
      <c r="G219" s="239"/>
      <c r="H219" s="240"/>
    </row>
    <row r="220" spans="3:8">
      <c r="C220" s="13" t="s">
        <v>505</v>
      </c>
      <c r="D220" s="241">
        <v>76</v>
      </c>
      <c r="E220" s="241">
        <v>45</v>
      </c>
      <c r="F220" s="241">
        <v>78</v>
      </c>
      <c r="G220" s="241">
        <v>92</v>
      </c>
      <c r="H220" s="242">
        <f>SUM(D220:G220)</f>
        <v>291</v>
      </c>
    </row>
    <row r="221" spans="3:8">
      <c r="C221" s="13" t="s">
        <v>498</v>
      </c>
      <c r="D221" s="241">
        <v>81</v>
      </c>
      <c r="E221" s="241">
        <v>62</v>
      </c>
      <c r="F221" s="241">
        <v>47</v>
      </c>
      <c r="G221" s="241">
        <v>59</v>
      </c>
      <c r="H221" s="242">
        <f t="shared" ref="H221:H223" si="5">SUM(D221:G221)</f>
        <v>249</v>
      </c>
    </row>
    <row r="222" spans="3:8">
      <c r="C222" s="13" t="s">
        <v>495</v>
      </c>
      <c r="D222" s="241">
        <v>85</v>
      </c>
      <c r="E222" s="241">
        <v>62</v>
      </c>
      <c r="F222" s="241">
        <v>82</v>
      </c>
      <c r="G222" s="241">
        <v>83</v>
      </c>
      <c r="H222" s="242">
        <f t="shared" si="5"/>
        <v>312</v>
      </c>
    </row>
    <row r="223" spans="3:8">
      <c r="C223" s="15" t="s">
        <v>493</v>
      </c>
      <c r="D223" s="243">
        <v>56</v>
      </c>
      <c r="E223" s="243">
        <v>72</v>
      </c>
      <c r="F223" s="243">
        <v>72</v>
      </c>
      <c r="G223" s="243">
        <v>89</v>
      </c>
      <c r="H223" s="244">
        <f t="shared" si="5"/>
        <v>289</v>
      </c>
    </row>
  </sheetData>
  <mergeCells count="18">
    <mergeCell ref="D2:H2"/>
    <mergeCell ref="D4:H4"/>
    <mergeCell ref="B10:H10"/>
    <mergeCell ref="B11:H11"/>
    <mergeCell ref="B6:C6"/>
    <mergeCell ref="B9:J9"/>
    <mergeCell ref="B7:J7"/>
    <mergeCell ref="B8:J8"/>
    <mergeCell ref="C123:E123"/>
    <mergeCell ref="C137:E137"/>
    <mergeCell ref="D14:J14"/>
    <mergeCell ref="C206:E206"/>
    <mergeCell ref="B12:H12"/>
    <mergeCell ref="C149:E149"/>
    <mergeCell ref="C166:E166"/>
    <mergeCell ref="C181:E181"/>
    <mergeCell ref="C95:E95"/>
    <mergeCell ref="C69:E69"/>
  </mergeCells>
  <conditionalFormatting sqref="C139:I146">
    <cfRule type="iconSet" priority="12">
      <iconSet iconSet="5Quarters">
        <cfvo type="percent" val="0"/>
        <cfvo type="num" val="2"/>
        <cfvo type="num" val="3"/>
        <cfvo type="num" val="4"/>
        <cfvo type="num" val="5"/>
      </iconSet>
    </cfRule>
  </conditionalFormatting>
  <conditionalFormatting sqref="C183:I203">
    <cfRule type="colorScale" priority="9">
      <colorScale>
        <cfvo type="min"/>
        <cfvo type="percentile" val="50"/>
        <cfvo type="max"/>
        <color rgb="FFF8696B"/>
        <color rgb="FFFFEB84"/>
        <color rgb="FF63BE7B"/>
      </colorScale>
    </cfRule>
  </conditionalFormatting>
  <conditionalFormatting sqref="D72:D92">
    <cfRule type="cellIs" dxfId="16" priority="22" operator="equal">
      <formula>$I$71</formula>
    </cfRule>
  </conditionalFormatting>
  <conditionalFormatting sqref="D170:D177">
    <cfRule type="iconSet" priority="10">
      <iconSet>
        <cfvo type="percent" val="0"/>
        <cfvo type="num" val="0"/>
        <cfvo type="num" val="900000" gte="0"/>
      </iconSet>
    </cfRule>
  </conditionalFormatting>
  <conditionalFormatting sqref="D152:E163">
    <cfRule type="iconSet" priority="11">
      <iconSet iconSet="3Arrows">
        <cfvo type="percent" val="0"/>
        <cfvo type="num" val="0"/>
        <cfvo type="num" val="0" gte="0"/>
      </iconSet>
    </cfRule>
  </conditionalFormatting>
  <conditionalFormatting sqref="D210:G223">
    <cfRule type="expression" dxfId="15" priority="1">
      <formula>D210&lt;$H210*20%</formula>
    </cfRule>
    <cfRule type="expression" dxfId="14" priority="2">
      <formula>D210&gt;$H210*30%</formula>
    </cfRule>
  </conditionalFormatting>
  <conditionalFormatting sqref="E99:E120">
    <cfRule type="top10" dxfId="13" priority="17" percent="1" rank="20"/>
  </conditionalFormatting>
  <conditionalFormatting sqref="F72:F92">
    <cfRule type="cellIs" dxfId="12" priority="30" operator="lessThan">
      <formula>$I$72</formula>
    </cfRule>
    <cfRule type="cellIs" dxfId="11" priority="31" operator="lessThan">
      <formula>#REF!</formula>
    </cfRule>
  </conditionalFormatting>
  <conditionalFormatting sqref="F99:F120">
    <cfRule type="aboveAverage" dxfId="10" priority="16"/>
  </conditionalFormatting>
  <conditionalFormatting sqref="G99:G120">
    <cfRule type="top10" dxfId="9" priority="15" percent="1" bottom="1" rank="10"/>
  </conditionalFormatting>
  <conditionalFormatting sqref="H126:H134">
    <cfRule type="top10" dxfId="8" priority="13" rank="2"/>
  </conditionalFormatting>
  <conditionalFormatting sqref="K17:K66">
    <cfRule type="cellIs" dxfId="7" priority="26" operator="lessThan">
      <formula>5000</formula>
    </cfRule>
    <cfRule type="cellIs" dxfId="6" priority="27" operator="between">
      <formula>5000</formula>
      <formula>10000</formula>
    </cfRule>
    <cfRule type="cellIs" dxfId="5" priority="28" operator="lessThan">
      <formula>5000</formula>
    </cfRule>
    <cfRule type="cellIs" dxfId="4" priority="29" operator="greaterThan">
      <formula>10000</formula>
    </cfRule>
  </conditionalFormatting>
  <dataValidations count="1">
    <dataValidation type="list" allowBlank="1" showInputMessage="1" showErrorMessage="1" sqref="I71" xr:uid="{9ED21D3F-91A7-40FB-99DF-3678CBBA5FAF}">
      <formula1>"Dairy,Produce,Grain"</formula1>
    </dataValidation>
  </dataValidations>
  <pageMargins left="0.7" right="0.7" top="0.75" bottom="0.75" header="0.3" footer="0.3"/>
  <drawing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DB1D-B37A-4480-816D-A6882F790818}">
  <sheetPr codeName="Sheet8"/>
  <dimension ref="B1:L221"/>
  <sheetViews>
    <sheetView zoomScale="101" workbookViewId="0">
      <selection activeCell="I59" sqref="I59"/>
    </sheetView>
  </sheetViews>
  <sheetFormatPr defaultRowHeight="15"/>
  <cols>
    <col min="2" max="7" width="20.7109375" customWidth="1"/>
    <col min="10" max="10" width="9" customWidth="1"/>
    <col min="11" max="11" width="60.7109375" style="6" customWidth="1"/>
  </cols>
  <sheetData>
    <row r="1" spans="2:11" ht="15.75" thickBot="1"/>
    <row r="2" spans="2:11" ht="29.25" thickBot="1">
      <c r="C2" s="484" t="s">
        <v>122</v>
      </c>
      <c r="D2" s="485"/>
      <c r="E2" s="485"/>
      <c r="F2" s="485"/>
      <c r="G2" s="485"/>
      <c r="H2" s="486"/>
      <c r="I2" s="21"/>
    </row>
    <row r="4" spans="2:11" ht="28.5">
      <c r="C4" s="520" t="s">
        <v>222</v>
      </c>
      <c r="D4" s="489"/>
      <c r="E4" s="489"/>
      <c r="F4" s="489"/>
      <c r="G4" s="489"/>
      <c r="H4" s="521"/>
      <c r="I4" s="6"/>
      <c r="K4" s="305" t="s">
        <v>28</v>
      </c>
    </row>
    <row r="6" spans="2:11">
      <c r="K6"/>
    </row>
    <row r="7" spans="2:11" ht="18">
      <c r="B7" s="74" t="s">
        <v>202</v>
      </c>
      <c r="K7" t="s">
        <v>234</v>
      </c>
    </row>
    <row r="8" spans="2:11">
      <c r="K8" t="s">
        <v>231</v>
      </c>
    </row>
    <row r="9" spans="2:11">
      <c r="B9" s="530" t="s">
        <v>220</v>
      </c>
      <c r="C9" s="530"/>
      <c r="D9" s="530"/>
      <c r="E9" s="530"/>
      <c r="F9" s="530"/>
      <c r="G9" s="530"/>
      <c r="H9" s="530"/>
      <c r="I9" s="1"/>
      <c r="K9" t="s">
        <v>233</v>
      </c>
    </row>
    <row r="10" spans="2:11">
      <c r="B10" s="530" t="s">
        <v>219</v>
      </c>
      <c r="C10" s="530"/>
      <c r="D10" s="530"/>
      <c r="E10" s="530"/>
      <c r="F10" s="530"/>
      <c r="G10" s="530"/>
      <c r="H10" s="530"/>
      <c r="I10" s="1"/>
      <c r="K10"/>
    </row>
    <row r="11" spans="2:11">
      <c r="K11" t="s">
        <v>241</v>
      </c>
    </row>
    <row r="12" spans="2:11">
      <c r="K12" s="101" t="s">
        <v>242</v>
      </c>
    </row>
    <row r="13" spans="2:11">
      <c r="B13" s="109" t="s">
        <v>195</v>
      </c>
      <c r="C13" s="110" t="s">
        <v>203</v>
      </c>
      <c r="D13" s="110" t="s">
        <v>204</v>
      </c>
      <c r="E13" s="110" t="s">
        <v>205</v>
      </c>
      <c r="F13" s="110" t="s">
        <v>206</v>
      </c>
      <c r="G13" s="111" t="s">
        <v>207</v>
      </c>
      <c r="K13"/>
    </row>
    <row r="14" spans="2:11">
      <c r="B14" s="78" t="s">
        <v>177</v>
      </c>
      <c r="C14" s="69" t="s">
        <v>208</v>
      </c>
      <c r="D14" s="69">
        <v>15</v>
      </c>
      <c r="E14" s="69">
        <v>20</v>
      </c>
      <c r="F14" s="69">
        <v>10</v>
      </c>
      <c r="G14" s="79">
        <f>E14*F14-D14*F14</f>
        <v>50</v>
      </c>
      <c r="K14"/>
    </row>
    <row r="15" spans="2:11">
      <c r="B15" s="78" t="s">
        <v>177</v>
      </c>
      <c r="C15" s="69" t="s">
        <v>209</v>
      </c>
      <c r="D15" s="69">
        <v>12</v>
      </c>
      <c r="E15" s="69">
        <v>18</v>
      </c>
      <c r="F15" s="69">
        <v>8</v>
      </c>
      <c r="G15" s="79">
        <f t="shared" ref="G15:G37" si="0">E15*F15-D15*F15</f>
        <v>48</v>
      </c>
    </row>
    <row r="16" spans="2:11">
      <c r="B16" s="78" t="s">
        <v>177</v>
      </c>
      <c r="C16" s="69" t="s">
        <v>210</v>
      </c>
      <c r="D16" s="69">
        <v>14</v>
      </c>
      <c r="E16" s="69">
        <v>19</v>
      </c>
      <c r="F16" s="69">
        <v>7</v>
      </c>
      <c r="G16" s="79">
        <f t="shared" si="0"/>
        <v>35</v>
      </c>
      <c r="K16" s="8"/>
    </row>
    <row r="17" spans="2:11">
      <c r="B17" s="78" t="s">
        <v>177</v>
      </c>
      <c r="C17" s="69" t="s">
        <v>211</v>
      </c>
      <c r="D17" s="69">
        <v>25</v>
      </c>
      <c r="E17" s="69">
        <v>35</v>
      </c>
      <c r="F17" s="69">
        <v>5</v>
      </c>
      <c r="G17" s="79">
        <f>E17*F17-D17*F17</f>
        <v>50</v>
      </c>
      <c r="K17" s="8"/>
    </row>
    <row r="18" spans="2:11">
      <c r="B18" s="78" t="s">
        <v>177</v>
      </c>
      <c r="C18" s="69" t="s">
        <v>212</v>
      </c>
      <c r="D18" s="69">
        <v>30</v>
      </c>
      <c r="E18" s="69">
        <v>45</v>
      </c>
      <c r="F18" s="69">
        <v>4</v>
      </c>
      <c r="G18" s="79">
        <f t="shared" si="0"/>
        <v>60</v>
      </c>
      <c r="K18" s="8"/>
    </row>
    <row r="19" spans="2:11">
      <c r="B19" s="78" t="s">
        <v>179</v>
      </c>
      <c r="C19" s="69" t="s">
        <v>208</v>
      </c>
      <c r="D19" s="69">
        <v>15</v>
      </c>
      <c r="E19" s="69">
        <v>21</v>
      </c>
      <c r="F19" s="69">
        <v>12</v>
      </c>
      <c r="G19" s="79">
        <f t="shared" si="0"/>
        <v>72</v>
      </c>
      <c r="K19" s="8"/>
    </row>
    <row r="20" spans="2:11">
      <c r="B20" s="78" t="s">
        <v>179</v>
      </c>
      <c r="C20" s="69" t="s">
        <v>209</v>
      </c>
      <c r="D20" s="69">
        <v>12</v>
      </c>
      <c r="E20" s="69">
        <v>19</v>
      </c>
      <c r="F20" s="69">
        <v>9</v>
      </c>
      <c r="G20" s="79">
        <f t="shared" si="0"/>
        <v>63</v>
      </c>
      <c r="K20" s="8"/>
    </row>
    <row r="21" spans="2:11">
      <c r="B21" s="78" t="s">
        <v>179</v>
      </c>
      <c r="C21" s="69" t="s">
        <v>210</v>
      </c>
      <c r="D21" s="69">
        <v>14</v>
      </c>
      <c r="E21" s="69">
        <v>20</v>
      </c>
      <c r="F21" s="69">
        <v>6</v>
      </c>
      <c r="G21" s="79">
        <f t="shared" si="0"/>
        <v>36</v>
      </c>
      <c r="K21" s="8"/>
    </row>
    <row r="22" spans="2:11">
      <c r="B22" s="78" t="s">
        <v>179</v>
      </c>
      <c r="C22" s="69" t="s">
        <v>211</v>
      </c>
      <c r="D22" s="69">
        <v>25</v>
      </c>
      <c r="E22" s="69">
        <v>36</v>
      </c>
      <c r="F22" s="69">
        <v>6</v>
      </c>
      <c r="G22" s="79">
        <f t="shared" si="0"/>
        <v>66</v>
      </c>
      <c r="K22" s="8"/>
    </row>
    <row r="23" spans="2:11">
      <c r="B23" s="78" t="s">
        <v>179</v>
      </c>
      <c r="C23" s="69" t="s">
        <v>212</v>
      </c>
      <c r="D23" s="69">
        <v>30</v>
      </c>
      <c r="E23" s="69">
        <v>46</v>
      </c>
      <c r="F23" s="69">
        <v>5</v>
      </c>
      <c r="G23" s="79">
        <f t="shared" si="0"/>
        <v>80</v>
      </c>
      <c r="K23" s="8"/>
    </row>
    <row r="24" spans="2:11">
      <c r="B24" s="78" t="s">
        <v>181</v>
      </c>
      <c r="C24" s="69" t="s">
        <v>208</v>
      </c>
      <c r="D24" s="69">
        <v>16</v>
      </c>
      <c r="E24" s="69">
        <v>22</v>
      </c>
      <c r="F24" s="69">
        <v>11</v>
      </c>
      <c r="G24" s="79">
        <f t="shared" si="0"/>
        <v>66</v>
      </c>
      <c r="K24" s="8"/>
    </row>
    <row r="25" spans="2:11">
      <c r="B25" s="78" t="s">
        <v>181</v>
      </c>
      <c r="C25" s="69" t="s">
        <v>209</v>
      </c>
      <c r="D25" s="69">
        <v>13</v>
      </c>
      <c r="E25" s="69">
        <v>20</v>
      </c>
      <c r="F25" s="69">
        <v>10</v>
      </c>
      <c r="G25" s="79">
        <f t="shared" si="0"/>
        <v>70</v>
      </c>
      <c r="K25" s="8"/>
    </row>
    <row r="26" spans="2:11">
      <c r="B26" s="78" t="s">
        <v>181</v>
      </c>
      <c r="C26" s="69" t="s">
        <v>210</v>
      </c>
      <c r="D26" s="69">
        <v>15</v>
      </c>
      <c r="E26" s="69">
        <v>21</v>
      </c>
      <c r="F26" s="69">
        <v>8</v>
      </c>
      <c r="G26" s="79">
        <f t="shared" si="0"/>
        <v>48</v>
      </c>
      <c r="K26" s="8"/>
    </row>
    <row r="27" spans="2:11">
      <c r="B27" s="78" t="s">
        <v>181</v>
      </c>
      <c r="C27" s="69" t="s">
        <v>211</v>
      </c>
      <c r="D27" s="69">
        <v>26</v>
      </c>
      <c r="E27" s="69">
        <v>37</v>
      </c>
      <c r="F27" s="69">
        <v>7</v>
      </c>
      <c r="G27" s="79">
        <f t="shared" si="0"/>
        <v>77</v>
      </c>
      <c r="K27" s="8"/>
    </row>
    <row r="28" spans="2:11">
      <c r="B28" s="78" t="s">
        <v>181</v>
      </c>
      <c r="C28" s="69" t="s">
        <v>212</v>
      </c>
      <c r="D28" s="69">
        <v>31</v>
      </c>
      <c r="E28" s="69">
        <v>47</v>
      </c>
      <c r="F28" s="69">
        <v>6</v>
      </c>
      <c r="G28" s="79">
        <f t="shared" si="0"/>
        <v>96</v>
      </c>
      <c r="K28" s="8"/>
    </row>
    <row r="29" spans="2:11">
      <c r="B29" s="78" t="s">
        <v>183</v>
      </c>
      <c r="C29" s="69" t="s">
        <v>208</v>
      </c>
      <c r="D29" s="69">
        <v>17</v>
      </c>
      <c r="E29" s="69">
        <v>23</v>
      </c>
      <c r="F29" s="69">
        <v>13</v>
      </c>
      <c r="G29" s="79">
        <f t="shared" si="0"/>
        <v>78</v>
      </c>
      <c r="K29" s="8"/>
    </row>
    <row r="30" spans="2:11">
      <c r="B30" s="78" t="s">
        <v>183</v>
      </c>
      <c r="C30" s="69" t="s">
        <v>209</v>
      </c>
      <c r="D30" s="69">
        <v>14</v>
      </c>
      <c r="E30" s="69">
        <v>21</v>
      </c>
      <c r="F30" s="69">
        <v>12</v>
      </c>
      <c r="G30" s="79">
        <f t="shared" si="0"/>
        <v>84</v>
      </c>
      <c r="K30" s="20"/>
    </row>
    <row r="31" spans="2:11">
      <c r="B31" s="78" t="s">
        <v>183</v>
      </c>
      <c r="C31" s="69" t="s">
        <v>210</v>
      </c>
      <c r="D31" s="69">
        <v>16</v>
      </c>
      <c r="E31" s="69">
        <v>22</v>
      </c>
      <c r="F31" s="69">
        <v>9</v>
      </c>
      <c r="G31" s="79">
        <f>E31*F31-D31*F31</f>
        <v>54</v>
      </c>
      <c r="K31" s="8"/>
    </row>
    <row r="32" spans="2:11">
      <c r="B32" s="78" t="s">
        <v>183</v>
      </c>
      <c r="C32" s="69" t="s">
        <v>211</v>
      </c>
      <c r="D32" s="69">
        <v>27</v>
      </c>
      <c r="E32" s="69">
        <v>38</v>
      </c>
      <c r="F32" s="69">
        <v>8</v>
      </c>
      <c r="G32" s="79">
        <f t="shared" si="0"/>
        <v>88</v>
      </c>
      <c r="K32" s="8"/>
    </row>
    <row r="33" spans="2:12">
      <c r="B33" s="78" t="s">
        <v>183</v>
      </c>
      <c r="C33" s="69" t="s">
        <v>212</v>
      </c>
      <c r="D33" s="69">
        <v>32</v>
      </c>
      <c r="E33" s="69">
        <v>48</v>
      </c>
      <c r="F33" s="69">
        <v>7</v>
      </c>
      <c r="G33" s="79">
        <f t="shared" si="0"/>
        <v>112</v>
      </c>
      <c r="K33" s="8"/>
    </row>
    <row r="34" spans="2:12">
      <c r="B34" s="78" t="s">
        <v>185</v>
      </c>
      <c r="C34" s="69" t="s">
        <v>208</v>
      </c>
      <c r="D34" s="69">
        <v>18</v>
      </c>
      <c r="E34" s="69">
        <v>24</v>
      </c>
      <c r="F34" s="69">
        <v>14</v>
      </c>
      <c r="G34" s="79">
        <f t="shared" si="0"/>
        <v>84</v>
      </c>
      <c r="K34" s="8"/>
    </row>
    <row r="35" spans="2:12">
      <c r="B35" s="78" t="s">
        <v>185</v>
      </c>
      <c r="C35" s="69" t="s">
        <v>209</v>
      </c>
      <c r="D35" s="69">
        <v>15</v>
      </c>
      <c r="E35" s="69">
        <v>22</v>
      </c>
      <c r="F35" s="69">
        <v>13</v>
      </c>
      <c r="G35" s="79">
        <f t="shared" si="0"/>
        <v>91</v>
      </c>
      <c r="K35" s="8"/>
    </row>
    <row r="36" spans="2:12">
      <c r="B36" s="78" t="s">
        <v>185</v>
      </c>
      <c r="C36" s="69" t="s">
        <v>210</v>
      </c>
      <c r="D36" s="69">
        <v>17</v>
      </c>
      <c r="E36" s="69">
        <v>23</v>
      </c>
      <c r="F36" s="69">
        <v>10</v>
      </c>
      <c r="G36" s="79">
        <f t="shared" si="0"/>
        <v>60</v>
      </c>
      <c r="K36" s="8"/>
    </row>
    <row r="37" spans="2:12">
      <c r="B37" s="78" t="s">
        <v>185</v>
      </c>
      <c r="C37" s="69" t="s">
        <v>211</v>
      </c>
      <c r="D37" s="69">
        <v>28</v>
      </c>
      <c r="E37" s="69">
        <v>39</v>
      </c>
      <c r="F37" s="69">
        <v>9</v>
      </c>
      <c r="G37" s="79">
        <f t="shared" si="0"/>
        <v>99</v>
      </c>
      <c r="K37" s="8"/>
    </row>
    <row r="38" spans="2:12">
      <c r="B38" s="80" t="s">
        <v>185</v>
      </c>
      <c r="C38" s="70" t="s">
        <v>212</v>
      </c>
      <c r="D38" s="70">
        <v>33</v>
      </c>
      <c r="E38" s="70">
        <v>49</v>
      </c>
      <c r="F38" s="70">
        <v>8</v>
      </c>
      <c r="G38" s="81">
        <f>E38*F38-D38*F38</f>
        <v>128</v>
      </c>
      <c r="K38" s="8"/>
    </row>
    <row r="39" spans="2:12">
      <c r="G39" s="79"/>
      <c r="K39" s="8"/>
    </row>
    <row r="40" spans="2:12" ht="18">
      <c r="B40" s="74" t="s">
        <v>213</v>
      </c>
      <c r="K40" s="8"/>
    </row>
    <row r="41" spans="2:12">
      <c r="B41" s="60"/>
      <c r="K41" s="8"/>
    </row>
    <row r="42" spans="2:12">
      <c r="B42" s="526" t="s">
        <v>223</v>
      </c>
      <c r="C42" s="526"/>
      <c r="D42" s="526"/>
      <c r="E42" s="526"/>
      <c r="F42" s="526"/>
      <c r="G42" s="526"/>
      <c r="H42" s="77"/>
      <c r="I42" s="77"/>
      <c r="J42" s="77"/>
      <c r="K42" s="8"/>
      <c r="L42" s="77"/>
    </row>
    <row r="43" spans="2:12">
      <c r="B43" s="75"/>
      <c r="K43" s="8"/>
    </row>
    <row r="44" spans="2:12">
      <c r="B44" s="529" t="s">
        <v>214</v>
      </c>
      <c r="C44" s="529"/>
      <c r="D44" s="529"/>
      <c r="E44" s="529"/>
      <c r="F44" s="529"/>
      <c r="G44" s="529"/>
      <c r="H44" s="529"/>
      <c r="I44" s="529"/>
      <c r="J44" s="529"/>
      <c r="K44" s="77"/>
      <c r="L44" s="77"/>
    </row>
    <row r="45" spans="2:12">
      <c r="B45" s="531" t="s">
        <v>215</v>
      </c>
      <c r="C45" s="531"/>
      <c r="K45" s="8"/>
    </row>
    <row r="46" spans="2:12">
      <c r="B46" s="531" t="s">
        <v>216</v>
      </c>
      <c r="C46" s="531"/>
      <c r="D46" s="531"/>
      <c r="K46" s="8"/>
    </row>
    <row r="47" spans="2:12">
      <c r="B47" s="531" t="s">
        <v>217</v>
      </c>
      <c r="C47" s="531"/>
      <c r="D47" s="531"/>
      <c r="K47" s="8"/>
    </row>
    <row r="48" spans="2:12">
      <c r="B48" s="76"/>
      <c r="K48" s="8"/>
    </row>
    <row r="49" spans="2:12">
      <c r="B49" s="529" t="s">
        <v>218</v>
      </c>
      <c r="C49" s="529"/>
      <c r="D49" s="529"/>
      <c r="E49" s="529"/>
      <c r="F49" s="529"/>
      <c r="G49" s="529"/>
      <c r="H49" s="529"/>
      <c r="I49" s="529"/>
      <c r="J49" s="77"/>
      <c r="K49" s="77"/>
      <c r="L49" s="77"/>
    </row>
    <row r="50" spans="2:12">
      <c r="K50" s="8"/>
    </row>
    <row r="51" spans="2:12">
      <c r="K51" s="8"/>
    </row>
    <row r="52" spans="2:12">
      <c r="D52" s="505" t="s">
        <v>230</v>
      </c>
      <c r="E52" s="505"/>
      <c r="K52" s="8"/>
    </row>
    <row r="53" spans="2:12">
      <c r="B53" t="s">
        <v>228</v>
      </c>
      <c r="K53" s="8"/>
    </row>
    <row r="54" spans="2:12">
      <c r="B54" s="437" t="s">
        <v>224</v>
      </c>
      <c r="C54" s="438" t="s">
        <v>203</v>
      </c>
      <c r="D54" s="438" t="s">
        <v>204</v>
      </c>
      <c r="E54" s="438" t="s">
        <v>205</v>
      </c>
      <c r="F54" s="438" t="s">
        <v>206</v>
      </c>
      <c r="G54" s="439" t="s">
        <v>207</v>
      </c>
      <c r="K54" s="8"/>
    </row>
    <row r="55" spans="2:12">
      <c r="B55" s="78" t="s">
        <v>225</v>
      </c>
      <c r="C55" s="69" t="s">
        <v>208</v>
      </c>
      <c r="D55" s="69">
        <v>15</v>
      </c>
      <c r="E55" s="69">
        <v>22</v>
      </c>
      <c r="F55" s="69">
        <v>10</v>
      </c>
      <c r="G55" s="82">
        <f>(E55*F55-D55*F55)*10000</f>
        <v>700000</v>
      </c>
      <c r="K55" s="8"/>
    </row>
    <row r="56" spans="2:12">
      <c r="B56" s="23" t="s">
        <v>226</v>
      </c>
      <c r="C56" s="69" t="s">
        <v>208</v>
      </c>
      <c r="D56" s="69">
        <v>15</v>
      </c>
      <c r="E56" s="69">
        <v>20</v>
      </c>
      <c r="F56" s="69">
        <v>10</v>
      </c>
      <c r="G56" s="82">
        <f t="shared" ref="G56:G57" si="1">(E56*F56-D56*F56)*10000</f>
        <v>500000</v>
      </c>
    </row>
    <row r="57" spans="2:12">
      <c r="B57" s="25" t="s">
        <v>227</v>
      </c>
      <c r="C57" s="70" t="s">
        <v>208</v>
      </c>
      <c r="D57" s="70">
        <v>15</v>
      </c>
      <c r="E57" s="70">
        <v>18</v>
      </c>
      <c r="F57" s="70">
        <v>10</v>
      </c>
      <c r="G57" s="83">
        <f t="shared" si="1"/>
        <v>300000</v>
      </c>
    </row>
    <row r="60" spans="2:12">
      <c r="B60" t="s">
        <v>229</v>
      </c>
    </row>
    <row r="61" spans="2:12">
      <c r="B61" s="437" t="s">
        <v>195</v>
      </c>
      <c r="C61" s="438" t="s">
        <v>203</v>
      </c>
      <c r="D61" s="438" t="s">
        <v>204</v>
      </c>
      <c r="E61" s="438" t="s">
        <v>205</v>
      </c>
      <c r="F61" s="438" t="s">
        <v>206</v>
      </c>
      <c r="G61" s="439" t="s">
        <v>207</v>
      </c>
    </row>
    <row r="62" spans="2:12">
      <c r="B62" s="78" t="s">
        <v>177</v>
      </c>
      <c r="C62" s="69" t="s">
        <v>208</v>
      </c>
      <c r="D62" s="69">
        <v>15</v>
      </c>
      <c r="E62" s="69">
        <v>20</v>
      </c>
      <c r="F62" s="69">
        <v>10</v>
      </c>
      <c r="G62" s="82">
        <f>(E62*F62-D62*F62)*10000</f>
        <v>500000</v>
      </c>
      <c r="H62" s="61"/>
      <c r="I62" s="61"/>
    </row>
    <row r="63" spans="2:12">
      <c r="B63" s="78" t="s">
        <v>177</v>
      </c>
      <c r="C63" s="69" t="s">
        <v>209</v>
      </c>
      <c r="D63" s="69">
        <v>12</v>
      </c>
      <c r="E63" s="69">
        <v>18</v>
      </c>
      <c r="F63" s="69">
        <v>8</v>
      </c>
      <c r="G63" s="82">
        <f t="shared" ref="G63:G86" si="2">(E63*F63-D63*F63)*10000</f>
        <v>480000</v>
      </c>
      <c r="H63" s="61"/>
      <c r="I63" s="61"/>
    </row>
    <row r="64" spans="2:12">
      <c r="B64" s="78" t="s">
        <v>177</v>
      </c>
      <c r="C64" s="69" t="s">
        <v>210</v>
      </c>
      <c r="D64" s="69">
        <v>14</v>
      </c>
      <c r="E64" s="69">
        <v>19</v>
      </c>
      <c r="F64" s="69">
        <v>7</v>
      </c>
      <c r="G64" s="82">
        <f t="shared" si="2"/>
        <v>350000</v>
      </c>
      <c r="H64" s="61"/>
      <c r="I64" s="61"/>
    </row>
    <row r="65" spans="2:9">
      <c r="B65" s="78" t="s">
        <v>177</v>
      </c>
      <c r="C65" s="69" t="s">
        <v>211</v>
      </c>
      <c r="D65" s="69">
        <v>25</v>
      </c>
      <c r="E65" s="69">
        <v>35</v>
      </c>
      <c r="F65" s="69">
        <v>5</v>
      </c>
      <c r="G65" s="82">
        <f t="shared" si="2"/>
        <v>500000</v>
      </c>
      <c r="H65" s="61"/>
      <c r="I65" s="61"/>
    </row>
    <row r="66" spans="2:9">
      <c r="B66" s="78" t="s">
        <v>177</v>
      </c>
      <c r="C66" s="69" t="s">
        <v>212</v>
      </c>
      <c r="D66" s="69">
        <v>30</v>
      </c>
      <c r="E66" s="69">
        <v>45</v>
      </c>
      <c r="F66" s="69">
        <v>4</v>
      </c>
      <c r="G66" s="82">
        <f t="shared" si="2"/>
        <v>600000</v>
      </c>
      <c r="H66" s="61"/>
      <c r="I66" s="61"/>
    </row>
    <row r="67" spans="2:9">
      <c r="B67" s="78" t="s">
        <v>179</v>
      </c>
      <c r="C67" s="69" t="s">
        <v>208</v>
      </c>
      <c r="D67" s="69">
        <v>15</v>
      </c>
      <c r="E67" s="69">
        <v>21</v>
      </c>
      <c r="F67" s="69">
        <v>12</v>
      </c>
      <c r="G67" s="82">
        <f t="shared" si="2"/>
        <v>720000</v>
      </c>
      <c r="H67" s="61"/>
      <c r="I67" s="61"/>
    </row>
    <row r="68" spans="2:9">
      <c r="B68" s="78" t="s">
        <v>179</v>
      </c>
      <c r="C68" s="69" t="s">
        <v>209</v>
      </c>
      <c r="D68" s="69">
        <v>12</v>
      </c>
      <c r="E68" s="69">
        <v>19</v>
      </c>
      <c r="F68" s="69">
        <v>9</v>
      </c>
      <c r="G68" s="82">
        <f t="shared" si="2"/>
        <v>630000</v>
      </c>
      <c r="H68" s="61"/>
      <c r="I68" s="61"/>
    </row>
    <row r="69" spans="2:9">
      <c r="B69" s="78" t="s">
        <v>179</v>
      </c>
      <c r="C69" s="69" t="s">
        <v>210</v>
      </c>
      <c r="D69" s="69">
        <v>14</v>
      </c>
      <c r="E69" s="69">
        <v>20</v>
      </c>
      <c r="F69" s="69">
        <v>6</v>
      </c>
      <c r="G69" s="82">
        <f t="shared" si="2"/>
        <v>360000</v>
      </c>
      <c r="H69" s="61"/>
      <c r="I69" s="61"/>
    </row>
    <row r="70" spans="2:9">
      <c r="B70" s="78" t="s">
        <v>179</v>
      </c>
      <c r="C70" s="69" t="s">
        <v>211</v>
      </c>
      <c r="D70" s="69">
        <v>25</v>
      </c>
      <c r="E70" s="69">
        <v>36</v>
      </c>
      <c r="F70" s="69">
        <v>6</v>
      </c>
      <c r="G70" s="82">
        <f t="shared" si="2"/>
        <v>660000</v>
      </c>
      <c r="H70" s="61"/>
      <c r="I70" s="61"/>
    </row>
    <row r="71" spans="2:9">
      <c r="B71" s="78" t="s">
        <v>179</v>
      </c>
      <c r="C71" s="69" t="s">
        <v>212</v>
      </c>
      <c r="D71" s="69">
        <v>30</v>
      </c>
      <c r="E71" s="69">
        <v>46</v>
      </c>
      <c r="F71" s="69">
        <v>5</v>
      </c>
      <c r="G71" s="82">
        <f t="shared" si="2"/>
        <v>800000</v>
      </c>
      <c r="H71" s="61"/>
      <c r="I71" s="61"/>
    </row>
    <row r="72" spans="2:9">
      <c r="B72" s="78" t="s">
        <v>181</v>
      </c>
      <c r="C72" s="69" t="s">
        <v>208</v>
      </c>
      <c r="D72" s="69">
        <v>16</v>
      </c>
      <c r="E72" s="69">
        <v>22</v>
      </c>
      <c r="F72" s="69">
        <v>11</v>
      </c>
      <c r="G72" s="82">
        <f t="shared" si="2"/>
        <v>660000</v>
      </c>
      <c r="H72" s="61"/>
      <c r="I72" s="61"/>
    </row>
    <row r="73" spans="2:9">
      <c r="B73" s="78" t="s">
        <v>181</v>
      </c>
      <c r="C73" s="69" t="s">
        <v>209</v>
      </c>
      <c r="D73" s="69">
        <v>13</v>
      </c>
      <c r="E73" s="69">
        <v>20</v>
      </c>
      <c r="F73" s="69">
        <v>10</v>
      </c>
      <c r="G73" s="82">
        <f t="shared" si="2"/>
        <v>700000</v>
      </c>
      <c r="H73" s="61"/>
      <c r="I73" s="61"/>
    </row>
    <row r="74" spans="2:9">
      <c r="B74" s="78" t="s">
        <v>181</v>
      </c>
      <c r="C74" s="69" t="s">
        <v>210</v>
      </c>
      <c r="D74" s="69">
        <v>15</v>
      </c>
      <c r="E74" s="69">
        <v>21</v>
      </c>
      <c r="F74" s="69">
        <v>8</v>
      </c>
      <c r="G74" s="82">
        <f t="shared" si="2"/>
        <v>480000</v>
      </c>
      <c r="H74" s="61"/>
      <c r="I74" s="61"/>
    </row>
    <row r="75" spans="2:9">
      <c r="B75" s="78" t="s">
        <v>181</v>
      </c>
      <c r="C75" s="69" t="s">
        <v>211</v>
      </c>
      <c r="D75" s="69">
        <v>26</v>
      </c>
      <c r="E75" s="69">
        <v>37</v>
      </c>
      <c r="F75" s="69">
        <v>7</v>
      </c>
      <c r="G75" s="82">
        <f t="shared" si="2"/>
        <v>770000</v>
      </c>
      <c r="H75" s="61"/>
      <c r="I75" s="61"/>
    </row>
    <row r="76" spans="2:9">
      <c r="B76" s="78" t="s">
        <v>181</v>
      </c>
      <c r="C76" s="69" t="s">
        <v>212</v>
      </c>
      <c r="D76" s="69">
        <v>31</v>
      </c>
      <c r="E76" s="69">
        <v>47</v>
      </c>
      <c r="F76" s="69">
        <v>6</v>
      </c>
      <c r="G76" s="82">
        <f t="shared" si="2"/>
        <v>960000</v>
      </c>
      <c r="H76" s="61"/>
      <c r="I76" s="61"/>
    </row>
    <row r="77" spans="2:9">
      <c r="B77" s="78" t="s">
        <v>183</v>
      </c>
      <c r="C77" s="69" t="s">
        <v>208</v>
      </c>
      <c r="D77" s="69">
        <v>17</v>
      </c>
      <c r="E77" s="69">
        <v>23</v>
      </c>
      <c r="F77" s="69">
        <v>13</v>
      </c>
      <c r="G77" s="82">
        <f t="shared" si="2"/>
        <v>780000</v>
      </c>
      <c r="H77" s="61"/>
      <c r="I77" s="61"/>
    </row>
    <row r="78" spans="2:9">
      <c r="B78" s="78" t="s">
        <v>183</v>
      </c>
      <c r="C78" s="69" t="s">
        <v>209</v>
      </c>
      <c r="D78" s="69">
        <v>14</v>
      </c>
      <c r="E78" s="69">
        <v>21</v>
      </c>
      <c r="F78" s="69">
        <v>12</v>
      </c>
      <c r="G78" s="82">
        <f t="shared" si="2"/>
        <v>840000</v>
      </c>
      <c r="H78" s="61"/>
      <c r="I78" s="61"/>
    </row>
    <row r="79" spans="2:9">
      <c r="B79" s="78" t="s">
        <v>183</v>
      </c>
      <c r="C79" s="69" t="s">
        <v>210</v>
      </c>
      <c r="D79" s="69">
        <v>16</v>
      </c>
      <c r="E79" s="69">
        <v>22</v>
      </c>
      <c r="F79" s="69">
        <v>9</v>
      </c>
      <c r="G79" s="82">
        <f t="shared" si="2"/>
        <v>540000</v>
      </c>
      <c r="H79" s="61"/>
      <c r="I79" s="61"/>
    </row>
    <row r="80" spans="2:9">
      <c r="B80" s="78" t="s">
        <v>183</v>
      </c>
      <c r="C80" s="69" t="s">
        <v>211</v>
      </c>
      <c r="D80" s="69">
        <v>27</v>
      </c>
      <c r="E80" s="69">
        <v>38</v>
      </c>
      <c r="F80" s="69">
        <v>8</v>
      </c>
      <c r="G80" s="82">
        <f>(E80*F80-D80*F80)*10000</f>
        <v>880000</v>
      </c>
      <c r="H80" s="61"/>
      <c r="I80" s="61"/>
    </row>
    <row r="81" spans="2:9">
      <c r="B81" s="78" t="s">
        <v>183</v>
      </c>
      <c r="C81" s="69" t="s">
        <v>212</v>
      </c>
      <c r="D81" s="69">
        <v>32</v>
      </c>
      <c r="E81" s="69">
        <v>48</v>
      </c>
      <c r="F81" s="69">
        <v>7</v>
      </c>
      <c r="G81" s="82">
        <f t="shared" si="2"/>
        <v>1120000</v>
      </c>
      <c r="H81" s="61"/>
      <c r="I81" s="61"/>
    </row>
    <row r="82" spans="2:9">
      <c r="B82" s="78" t="s">
        <v>185</v>
      </c>
      <c r="C82" s="69" t="s">
        <v>208</v>
      </c>
      <c r="D82" s="69">
        <v>18</v>
      </c>
      <c r="E82" s="69">
        <v>24</v>
      </c>
      <c r="F82" s="69">
        <v>14</v>
      </c>
      <c r="G82" s="82">
        <f t="shared" si="2"/>
        <v>840000</v>
      </c>
      <c r="H82" s="61"/>
      <c r="I82" s="61"/>
    </row>
    <row r="83" spans="2:9">
      <c r="B83" s="78" t="s">
        <v>185</v>
      </c>
      <c r="C83" s="69" t="s">
        <v>209</v>
      </c>
      <c r="D83" s="69">
        <v>15</v>
      </c>
      <c r="E83" s="69">
        <v>22</v>
      </c>
      <c r="F83" s="69">
        <v>13</v>
      </c>
      <c r="G83" s="82">
        <f t="shared" si="2"/>
        <v>910000</v>
      </c>
      <c r="H83" s="61"/>
      <c r="I83" s="61"/>
    </row>
    <row r="84" spans="2:9">
      <c r="B84" s="78" t="s">
        <v>185</v>
      </c>
      <c r="C84" s="69" t="s">
        <v>210</v>
      </c>
      <c r="D84" s="69">
        <v>17</v>
      </c>
      <c r="E84" s="69">
        <v>23</v>
      </c>
      <c r="F84" s="69">
        <v>10</v>
      </c>
      <c r="G84" s="82">
        <f t="shared" si="2"/>
        <v>600000</v>
      </c>
      <c r="H84" s="61"/>
      <c r="I84" s="61"/>
    </row>
    <row r="85" spans="2:9">
      <c r="B85" s="78" t="s">
        <v>185</v>
      </c>
      <c r="C85" s="69" t="s">
        <v>211</v>
      </c>
      <c r="D85" s="69">
        <v>28</v>
      </c>
      <c r="E85" s="69">
        <v>39</v>
      </c>
      <c r="F85" s="69">
        <v>9</v>
      </c>
      <c r="G85" s="82">
        <f t="shared" si="2"/>
        <v>990000</v>
      </c>
      <c r="H85" s="61"/>
      <c r="I85" s="61"/>
    </row>
    <row r="86" spans="2:9" ht="15.75" thickBot="1">
      <c r="B86" s="80" t="s">
        <v>185</v>
      </c>
      <c r="C86" s="70" t="s">
        <v>212</v>
      </c>
      <c r="D86" s="70">
        <v>33</v>
      </c>
      <c r="E86" s="85">
        <v>74.625</v>
      </c>
      <c r="F86" s="70">
        <v>8</v>
      </c>
      <c r="G86" s="82">
        <f t="shared" si="2"/>
        <v>3330000</v>
      </c>
      <c r="H86" s="61"/>
      <c r="I86" s="61"/>
    </row>
    <row r="87" spans="2:9" ht="15.75" thickBot="1">
      <c r="G87" s="84">
        <f>SUM(G62:G86)</f>
        <v>20000000</v>
      </c>
    </row>
    <row r="91" spans="2:9">
      <c r="C91" s="506" t="s">
        <v>222</v>
      </c>
      <c r="D91" s="506"/>
      <c r="E91" s="506"/>
      <c r="F91" s="506"/>
      <c r="G91" s="506"/>
      <c r="H91" s="506"/>
      <c r="I91" s="6"/>
    </row>
    <row r="94" spans="2:9">
      <c r="C94" s="10" t="s">
        <v>235</v>
      </c>
      <c r="D94" s="88">
        <v>200000</v>
      </c>
    </row>
    <row r="95" spans="2:9">
      <c r="C95" s="13" t="s">
        <v>240</v>
      </c>
      <c r="D95" s="89">
        <v>500</v>
      </c>
    </row>
    <row r="96" spans="2:9">
      <c r="C96" s="13" t="s">
        <v>236</v>
      </c>
      <c r="D96" s="90">
        <v>7.0000000000000007E-2</v>
      </c>
    </row>
    <row r="97" spans="2:7">
      <c r="C97" s="13" t="s">
        <v>237</v>
      </c>
      <c r="D97" s="14">
        <v>30</v>
      </c>
      <c r="F97" s="86"/>
      <c r="G97" s="86"/>
    </row>
    <row r="98" spans="2:7">
      <c r="C98" s="13"/>
      <c r="D98" s="14"/>
    </row>
    <row r="99" spans="2:7">
      <c r="C99" s="15" t="s">
        <v>238</v>
      </c>
      <c r="D99" s="87">
        <f>FV(D96/12, D97*12, -D95, -D94)</f>
        <v>2233284.9929599036</v>
      </c>
      <c r="F99" s="86"/>
    </row>
    <row r="101" spans="2:7">
      <c r="E101" s="9" t="s">
        <v>239</v>
      </c>
    </row>
    <row r="102" spans="2:7">
      <c r="D102" s="16"/>
      <c r="E102" s="16"/>
      <c r="F102" s="16"/>
      <c r="G102" s="16"/>
    </row>
    <row r="103" spans="2:7">
      <c r="C103" s="93">
        <f>FV(D96/12, D97*12, -D95, -D94)</f>
        <v>2233284.9929599036</v>
      </c>
      <c r="D103" s="94">
        <v>0.08</v>
      </c>
      <c r="E103" s="94">
        <v>0.09</v>
      </c>
      <c r="F103" s="94">
        <v>0.1</v>
      </c>
      <c r="G103" s="95">
        <v>0.12</v>
      </c>
    </row>
    <row r="104" spans="2:7" ht="15" customHeight="1">
      <c r="B104" s="100"/>
      <c r="C104" s="91">
        <v>100</v>
      </c>
      <c r="D104" s="96">
        <f t="dataTable" ref="D104:G113" dt2D="1" dtr="1" r1="D96" r2="D95"/>
        <v>2336181.8764174581</v>
      </c>
      <c r="E104" s="96">
        <v>3129189.572915318</v>
      </c>
      <c r="F104" s="96">
        <v>4193528.6671396941</v>
      </c>
      <c r="G104" s="97">
        <v>7539424.6788138635</v>
      </c>
    </row>
    <row r="105" spans="2:7">
      <c r="B105" s="100"/>
      <c r="C105" s="91">
        <v>200</v>
      </c>
      <c r="D105" s="96">
        <v>2485217.8212837926</v>
      </c>
      <c r="E105" s="96">
        <v>3312263.9212225256</v>
      </c>
      <c r="F105" s="96">
        <v>4419577.4596192995</v>
      </c>
      <c r="G105" s="97">
        <v>7888921.0920907147</v>
      </c>
    </row>
    <row r="106" spans="2:7">
      <c r="B106" s="100"/>
      <c r="C106" s="91">
        <v>1500</v>
      </c>
      <c r="D106" s="96">
        <v>4422685.104546139</v>
      </c>
      <c r="E106" s="96">
        <v>5692230.4492162224</v>
      </c>
      <c r="F106" s="96">
        <v>7358211.761854168</v>
      </c>
      <c r="G106" s="97">
        <v>12432374.464689773</v>
      </c>
    </row>
    <row r="107" spans="2:7">
      <c r="B107" s="100"/>
      <c r="C107" s="91">
        <v>1200</v>
      </c>
      <c r="D107" s="96">
        <v>3975577.2699471358</v>
      </c>
      <c r="E107" s="96">
        <v>5143007.4042945988</v>
      </c>
      <c r="F107" s="96">
        <v>6680065.3844153527</v>
      </c>
      <c r="G107" s="97">
        <v>11383885.224859221</v>
      </c>
    </row>
    <row r="108" spans="2:7">
      <c r="B108" s="100"/>
      <c r="C108" s="91">
        <v>1900</v>
      </c>
      <c r="D108" s="96">
        <v>5018828.8840114754</v>
      </c>
      <c r="E108" s="96">
        <v>6424527.8424450513</v>
      </c>
      <c r="F108" s="96">
        <v>8262406.9317725897</v>
      </c>
      <c r="G108" s="97">
        <v>13830360.117797175</v>
      </c>
    </row>
    <row r="109" spans="2:7">
      <c r="B109" s="100"/>
      <c r="C109" s="91">
        <v>2360</v>
      </c>
      <c r="D109" s="96">
        <v>5704394.2303966135</v>
      </c>
      <c r="E109" s="96">
        <v>7266669.8446582053</v>
      </c>
      <c r="F109" s="96">
        <v>9302231.3771787733</v>
      </c>
      <c r="G109" s="97">
        <v>15438043.618870687</v>
      </c>
    </row>
    <row r="110" spans="2:7">
      <c r="B110" s="100"/>
      <c r="C110" s="91">
        <v>2820</v>
      </c>
      <c r="D110" s="96">
        <v>6389959.5767817516</v>
      </c>
      <c r="E110" s="96">
        <v>8108811.8468713593</v>
      </c>
      <c r="F110" s="96">
        <v>10342055.822584957</v>
      </c>
      <c r="G110" s="97">
        <v>17045727.1199442</v>
      </c>
    </row>
    <row r="111" spans="2:7">
      <c r="B111" s="100"/>
      <c r="C111" s="91">
        <v>3120</v>
      </c>
      <c r="D111" s="96">
        <v>6837067.4113807548</v>
      </c>
      <c r="E111" s="96">
        <v>8658034.891792981</v>
      </c>
      <c r="F111" s="96">
        <v>11020202.200023774</v>
      </c>
      <c r="G111" s="97">
        <v>18094216.359774753</v>
      </c>
    </row>
    <row r="112" spans="2:7">
      <c r="B112" s="100"/>
      <c r="C112" s="91">
        <v>3740</v>
      </c>
      <c r="D112" s="96">
        <v>7761090.2695520269</v>
      </c>
      <c r="E112" s="96">
        <v>9793095.8512976673</v>
      </c>
      <c r="F112" s="96">
        <v>12421704.713397328</v>
      </c>
      <c r="G112" s="97">
        <v>20261094.122091226</v>
      </c>
    </row>
    <row r="113" spans="2:7">
      <c r="B113" s="100"/>
      <c r="C113" s="92">
        <v>6200</v>
      </c>
      <c r="D113" s="98">
        <v>11427374.513263851</v>
      </c>
      <c r="E113" s="98">
        <v>14296724.819654969</v>
      </c>
      <c r="F113" s="98">
        <v>17982505.008395616</v>
      </c>
      <c r="G113" s="99">
        <v>28858705.888701752</v>
      </c>
    </row>
    <row r="114" spans="2:7">
      <c r="C114" s="61"/>
    </row>
    <row r="115" spans="2:7">
      <c r="C115" s="61"/>
    </row>
    <row r="116" spans="2:7">
      <c r="C116" s="61"/>
    </row>
    <row r="117" spans="2:7">
      <c r="C117" s="61"/>
    </row>
    <row r="118" spans="2:7">
      <c r="C118" s="61"/>
    </row>
    <row r="119" spans="2:7">
      <c r="C119" s="61"/>
    </row>
    <row r="120" spans="2:7">
      <c r="C120" s="61"/>
    </row>
    <row r="121" spans="2:7">
      <c r="C121" s="61"/>
    </row>
    <row r="122" spans="2:7">
      <c r="C122" s="61"/>
    </row>
    <row r="123" spans="2:7">
      <c r="C123" s="61"/>
    </row>
    <row r="124" spans="2:7">
      <c r="C124" s="61"/>
    </row>
    <row r="125" spans="2:7">
      <c r="C125" s="61"/>
    </row>
    <row r="126" spans="2:7">
      <c r="C126" s="61"/>
    </row>
    <row r="127" spans="2:7">
      <c r="C127" s="61"/>
    </row>
    <row r="128" spans="2:7">
      <c r="C128" s="61"/>
    </row>
    <row r="129" spans="3:3">
      <c r="C129" s="61"/>
    </row>
    <row r="130" spans="3:3">
      <c r="C130" s="61"/>
    </row>
    <row r="131" spans="3:3">
      <c r="C131" s="61"/>
    </row>
    <row r="132" spans="3:3">
      <c r="C132" s="61"/>
    </row>
    <row r="133" spans="3:3">
      <c r="C133" s="61"/>
    </row>
    <row r="134" spans="3:3">
      <c r="C134" s="61"/>
    </row>
    <row r="135" spans="3:3">
      <c r="C135" s="61"/>
    </row>
    <row r="136" spans="3:3">
      <c r="C136" s="61"/>
    </row>
    <row r="137" spans="3:3">
      <c r="C137" s="61"/>
    </row>
    <row r="138" spans="3:3">
      <c r="C138" s="61"/>
    </row>
    <row r="139" spans="3:3">
      <c r="C139" s="61"/>
    </row>
    <row r="140" spans="3:3">
      <c r="C140" s="61"/>
    </row>
    <row r="141" spans="3:3">
      <c r="C141" s="61"/>
    </row>
    <row r="142" spans="3:3">
      <c r="C142" s="61"/>
    </row>
    <row r="143" spans="3:3">
      <c r="C143" s="61"/>
    </row>
    <row r="144" spans="3:3">
      <c r="C144" s="61"/>
    </row>
    <row r="145" spans="3:3">
      <c r="C145" s="61"/>
    </row>
    <row r="146" spans="3:3">
      <c r="C146" s="61"/>
    </row>
    <row r="147" spans="3:3">
      <c r="C147" s="61"/>
    </row>
    <row r="148" spans="3:3">
      <c r="C148" s="61"/>
    </row>
    <row r="149" spans="3:3">
      <c r="C149" s="61"/>
    </row>
    <row r="150" spans="3:3">
      <c r="C150" s="61"/>
    </row>
    <row r="151" spans="3:3">
      <c r="C151" s="61"/>
    </row>
    <row r="152" spans="3:3">
      <c r="C152" s="61"/>
    </row>
    <row r="153" spans="3:3">
      <c r="C153" s="61"/>
    </row>
    <row r="154" spans="3:3">
      <c r="C154" s="61"/>
    </row>
    <row r="155" spans="3:3">
      <c r="C155" s="61"/>
    </row>
    <row r="156" spans="3:3">
      <c r="C156" s="61"/>
    </row>
    <row r="157" spans="3:3">
      <c r="C157" s="61"/>
    </row>
    <row r="158" spans="3:3">
      <c r="C158" s="61"/>
    </row>
    <row r="159" spans="3:3">
      <c r="C159" s="61"/>
    </row>
    <row r="160" spans="3:3">
      <c r="C160" s="61"/>
    </row>
    <row r="161" spans="3:3">
      <c r="C161" s="61"/>
    </row>
    <row r="162" spans="3:3">
      <c r="C162" s="61"/>
    </row>
    <row r="163" spans="3:3">
      <c r="C163" s="61"/>
    </row>
    <row r="164" spans="3:3">
      <c r="C164" s="61"/>
    </row>
    <row r="165" spans="3:3">
      <c r="C165" s="61"/>
    </row>
    <row r="166" spans="3:3">
      <c r="C166" s="61"/>
    </row>
    <row r="167" spans="3:3">
      <c r="C167" s="61"/>
    </row>
    <row r="168" spans="3:3">
      <c r="C168" s="61"/>
    </row>
    <row r="169" spans="3:3">
      <c r="C169" s="61"/>
    </row>
    <row r="170" spans="3:3">
      <c r="C170" s="61"/>
    </row>
    <row r="171" spans="3:3">
      <c r="C171" s="61"/>
    </row>
    <row r="172" spans="3:3">
      <c r="C172" s="61"/>
    </row>
    <row r="173" spans="3:3">
      <c r="C173" s="61"/>
    </row>
    <row r="174" spans="3:3">
      <c r="C174" s="61"/>
    </row>
    <row r="175" spans="3:3">
      <c r="C175" s="61"/>
    </row>
    <row r="176" spans="3:3">
      <c r="C176" s="61"/>
    </row>
    <row r="177" spans="3:3">
      <c r="C177" s="61"/>
    </row>
    <row r="178" spans="3:3">
      <c r="C178" s="61"/>
    </row>
    <row r="179" spans="3:3">
      <c r="C179" s="61"/>
    </row>
    <row r="180" spans="3:3">
      <c r="C180" s="61"/>
    </row>
    <row r="181" spans="3:3">
      <c r="C181" s="61"/>
    </row>
    <row r="182" spans="3:3">
      <c r="C182" s="61"/>
    </row>
    <row r="183" spans="3:3">
      <c r="C183" s="61"/>
    </row>
    <row r="184" spans="3:3">
      <c r="C184" s="61"/>
    </row>
    <row r="185" spans="3:3">
      <c r="C185" s="61"/>
    </row>
    <row r="186" spans="3:3">
      <c r="C186" s="61"/>
    </row>
    <row r="187" spans="3:3">
      <c r="C187" s="61"/>
    </row>
    <row r="188" spans="3:3">
      <c r="C188" s="61"/>
    </row>
    <row r="189" spans="3:3">
      <c r="C189" s="61"/>
    </row>
    <row r="190" spans="3:3">
      <c r="C190" s="61"/>
    </row>
    <row r="191" spans="3:3">
      <c r="C191" s="61"/>
    </row>
    <row r="192" spans="3:3">
      <c r="C192" s="61"/>
    </row>
    <row r="193" spans="3:3">
      <c r="C193" s="61"/>
    </row>
    <row r="194" spans="3:3">
      <c r="C194" s="61"/>
    </row>
    <row r="195" spans="3:3">
      <c r="C195" s="61"/>
    </row>
    <row r="196" spans="3:3">
      <c r="C196" s="61"/>
    </row>
    <row r="197" spans="3:3">
      <c r="C197" s="61"/>
    </row>
    <row r="198" spans="3:3">
      <c r="C198" s="61"/>
    </row>
    <row r="199" spans="3:3">
      <c r="C199" s="61"/>
    </row>
    <row r="200" spans="3:3">
      <c r="C200" s="61"/>
    </row>
    <row r="201" spans="3:3">
      <c r="C201" s="61"/>
    </row>
    <row r="202" spans="3:3">
      <c r="C202" s="61"/>
    </row>
    <row r="203" spans="3:3">
      <c r="C203" s="61"/>
    </row>
    <row r="204" spans="3:3">
      <c r="C204" s="61"/>
    </row>
    <row r="205" spans="3:3">
      <c r="C205" s="61"/>
    </row>
    <row r="206" spans="3:3">
      <c r="C206" s="61"/>
    </row>
    <row r="207" spans="3:3">
      <c r="C207" s="61"/>
    </row>
    <row r="208" spans="3:3">
      <c r="C208" s="61"/>
    </row>
    <row r="209" spans="3:3">
      <c r="C209" s="61"/>
    </row>
    <row r="210" spans="3:3">
      <c r="C210" s="61"/>
    </row>
    <row r="211" spans="3:3">
      <c r="C211" s="61"/>
    </row>
    <row r="212" spans="3:3">
      <c r="C212" s="61"/>
    </row>
    <row r="213" spans="3:3">
      <c r="C213" s="61"/>
    </row>
    <row r="214" spans="3:3">
      <c r="C214" s="61"/>
    </row>
    <row r="215" spans="3:3">
      <c r="C215" s="61"/>
    </row>
    <row r="216" spans="3:3">
      <c r="C216" s="61"/>
    </row>
    <row r="217" spans="3:3">
      <c r="C217" s="61"/>
    </row>
    <row r="218" spans="3:3">
      <c r="C218" s="61"/>
    </row>
    <row r="219" spans="3:3">
      <c r="C219" s="61"/>
    </row>
    <row r="220" spans="3:3">
      <c r="C220" s="61"/>
    </row>
    <row r="221" spans="3:3">
      <c r="C221" s="61"/>
    </row>
  </sheetData>
  <scenarios current="0" show="0">
    <scenario name="Change in sale" locked="1" count="1" user="hp" comment="Created by hp on 03-07-2024">
      <inputCells r="E55" val="20"/>
    </scenario>
  </scenarios>
  <mergeCells count="12">
    <mergeCell ref="C91:H91"/>
    <mergeCell ref="B44:J44"/>
    <mergeCell ref="B49:I49"/>
    <mergeCell ref="C2:H2"/>
    <mergeCell ref="C4:H4"/>
    <mergeCell ref="D52:E52"/>
    <mergeCell ref="B9:H9"/>
    <mergeCell ref="B10:H10"/>
    <mergeCell ref="B45:C45"/>
    <mergeCell ref="B46:D46"/>
    <mergeCell ref="B47:D47"/>
    <mergeCell ref="B42:G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5163-A25A-4271-BC10-0790CAA6BFFC}">
  <sheetPr codeName="Sheet10"/>
  <dimension ref="A1:R48"/>
  <sheetViews>
    <sheetView showGridLines="0" zoomScale="72" zoomScaleNormal="70" workbookViewId="0">
      <selection activeCell="H28" sqref="H28"/>
    </sheetView>
  </sheetViews>
  <sheetFormatPr defaultRowHeight="15"/>
  <cols>
    <col min="2" max="2" width="14.140625" bestFit="1" customWidth="1"/>
    <col min="3" max="3" width="20.28515625" bestFit="1" customWidth="1"/>
    <col min="4" max="8" width="20.7109375" customWidth="1"/>
    <col min="9" max="9" width="200.7109375" style="406" customWidth="1"/>
    <col min="10" max="39" width="5.85546875" bestFit="1" customWidth="1"/>
    <col min="40" max="51" width="6.85546875" bestFit="1" customWidth="1"/>
    <col min="52" max="52" width="11.5703125" bestFit="1" customWidth="1"/>
    <col min="53" max="53" width="11.28515625" bestFit="1" customWidth="1"/>
  </cols>
  <sheetData>
    <row r="1" spans="1:18" ht="15.75" thickBot="1">
      <c r="I1" s="405"/>
    </row>
    <row r="2" spans="1:18" ht="29.25" thickBot="1">
      <c r="B2" s="484" t="s">
        <v>174</v>
      </c>
      <c r="C2" s="485"/>
      <c r="D2" s="485"/>
      <c r="E2" s="485"/>
      <c r="F2" s="485"/>
      <c r="G2" s="486"/>
    </row>
    <row r="4" spans="1:18" ht="28.5">
      <c r="B4" s="487" t="s">
        <v>919</v>
      </c>
      <c r="C4" s="488"/>
      <c r="D4" s="488"/>
      <c r="E4" s="488"/>
      <c r="F4" s="488"/>
      <c r="G4" s="490"/>
    </row>
    <row r="5" spans="1:18" ht="26.25">
      <c r="B5" s="6"/>
      <c r="C5" s="6"/>
      <c r="D5" s="6"/>
      <c r="E5" s="6"/>
      <c r="F5" s="6"/>
      <c r="G5" s="6"/>
      <c r="I5" s="409" t="s">
        <v>310</v>
      </c>
    </row>
    <row r="6" spans="1:18">
      <c r="D6" s="6"/>
      <c r="E6" s="6"/>
      <c r="F6" s="6"/>
      <c r="G6" s="6"/>
      <c r="H6" s="6"/>
      <c r="I6" s="407"/>
    </row>
    <row r="7" spans="1:18" ht="15" customHeight="1">
      <c r="A7" s="9" t="s">
        <v>315</v>
      </c>
      <c r="B7" s="132" t="s">
        <v>316</v>
      </c>
      <c r="C7" s="132"/>
      <c r="D7" s="132"/>
      <c r="E7" s="132"/>
      <c r="F7" s="132"/>
      <c r="G7" s="132"/>
      <c r="H7" s="132"/>
      <c r="I7" s="408"/>
      <c r="J7" s="132"/>
      <c r="K7" s="132"/>
      <c r="L7" s="132"/>
      <c r="M7" s="132"/>
      <c r="N7" s="132"/>
      <c r="O7" s="132"/>
      <c r="P7" s="132"/>
      <c r="Q7" s="133"/>
      <c r="R7" s="133"/>
    </row>
    <row r="8" spans="1:18" ht="15.75">
      <c r="B8" s="532" t="s">
        <v>309</v>
      </c>
      <c r="C8" s="532"/>
      <c r="D8" s="532"/>
      <c r="E8" s="532"/>
      <c r="F8" s="532"/>
      <c r="G8" s="532"/>
      <c r="H8" s="132"/>
      <c r="I8" s="408"/>
      <c r="J8" s="132"/>
    </row>
    <row r="10" spans="1:18" ht="18">
      <c r="B10" s="74"/>
      <c r="E10" s="74"/>
      <c r="F10" s="74"/>
      <c r="G10" s="74"/>
    </row>
    <row r="11" spans="1:18">
      <c r="B11" s="146" t="s">
        <v>303</v>
      </c>
      <c r="C11" s="147" t="s">
        <v>311</v>
      </c>
      <c r="D11" s="147" t="s">
        <v>314</v>
      </c>
      <c r="E11" s="147" t="s">
        <v>313</v>
      </c>
      <c r="F11" s="148" t="s">
        <v>312</v>
      </c>
    </row>
    <row r="12" spans="1:18">
      <c r="B12" s="32" t="s">
        <v>304</v>
      </c>
      <c r="C12" s="134">
        <v>50000</v>
      </c>
      <c r="D12" s="134">
        <v>55000</v>
      </c>
      <c r="E12" s="134">
        <v>60000</v>
      </c>
      <c r="F12" s="136">
        <v>65000</v>
      </c>
    </row>
    <row r="13" spans="1:18">
      <c r="B13" s="32" t="s">
        <v>305</v>
      </c>
      <c r="C13" s="134">
        <v>40000</v>
      </c>
      <c r="D13" s="134">
        <v>45000</v>
      </c>
      <c r="E13" s="134">
        <v>47000</v>
      </c>
      <c r="F13" s="136">
        <v>50000</v>
      </c>
    </row>
    <row r="14" spans="1:18">
      <c r="B14" s="32" t="s">
        <v>306</v>
      </c>
      <c r="C14" s="134">
        <v>35000</v>
      </c>
      <c r="D14" s="134">
        <v>37000</v>
      </c>
      <c r="E14" s="134">
        <v>39000</v>
      </c>
      <c r="F14" s="136">
        <v>42000</v>
      </c>
    </row>
    <row r="15" spans="1:18">
      <c r="B15" s="32" t="s">
        <v>307</v>
      </c>
      <c r="C15" s="134">
        <v>20000</v>
      </c>
      <c r="D15" s="134">
        <v>21000</v>
      </c>
      <c r="E15" s="134">
        <v>22000</v>
      </c>
      <c r="F15" s="136">
        <v>23000</v>
      </c>
    </row>
    <row r="16" spans="1:18">
      <c r="B16" s="34" t="s">
        <v>308</v>
      </c>
      <c r="C16" s="135">
        <v>15000</v>
      </c>
      <c r="D16" s="135">
        <v>16000</v>
      </c>
      <c r="E16" s="135">
        <v>17000</v>
      </c>
      <c r="F16" s="137">
        <v>18000</v>
      </c>
    </row>
    <row r="31" spans="1:11" ht="15.75">
      <c r="A31" s="149" t="s">
        <v>331</v>
      </c>
      <c r="B31" s="132" t="s">
        <v>332</v>
      </c>
      <c r="C31" s="132"/>
      <c r="D31" s="132"/>
      <c r="E31" s="132"/>
      <c r="F31" s="132"/>
      <c r="G31" s="132"/>
      <c r="H31" s="132"/>
      <c r="I31" s="408"/>
      <c r="J31" s="132"/>
      <c r="K31" s="132"/>
    </row>
    <row r="32" spans="1:11" ht="26.25">
      <c r="A32" s="149"/>
      <c r="B32" s="132"/>
      <c r="C32" s="132"/>
      <c r="D32" s="132"/>
      <c r="E32" s="132"/>
      <c r="F32" s="132"/>
      <c r="G32" s="132"/>
      <c r="H32" s="132"/>
      <c r="I32" s="409" t="s">
        <v>340</v>
      </c>
      <c r="J32" s="132"/>
      <c r="K32" s="132"/>
    </row>
    <row r="34" spans="2:4" ht="18">
      <c r="B34" s="74"/>
      <c r="C34" s="9" t="s">
        <v>402</v>
      </c>
    </row>
    <row r="36" spans="2:4">
      <c r="B36" s="139" t="s">
        <v>195</v>
      </c>
      <c r="C36" s="140" t="s">
        <v>330</v>
      </c>
      <c r="D36" s="141" t="s">
        <v>387</v>
      </c>
    </row>
    <row r="37" spans="2:4">
      <c r="B37" s="142" t="s">
        <v>317</v>
      </c>
      <c r="C37" s="150">
        <v>50000</v>
      </c>
      <c r="D37" s="151">
        <v>10000</v>
      </c>
    </row>
    <row r="38" spans="2:4">
      <c r="B38" s="143" t="s">
        <v>318</v>
      </c>
      <c r="C38" s="152">
        <v>55000</v>
      </c>
      <c r="D38" s="153">
        <v>9000</v>
      </c>
    </row>
    <row r="39" spans="2:4">
      <c r="B39" s="142" t="s">
        <v>319</v>
      </c>
      <c r="C39" s="150">
        <v>60000</v>
      </c>
      <c r="D39" s="151">
        <v>7500</v>
      </c>
    </row>
    <row r="40" spans="2:4">
      <c r="B40" s="143" t="s">
        <v>320</v>
      </c>
      <c r="C40" s="152">
        <v>65000</v>
      </c>
      <c r="D40" s="153">
        <v>12500</v>
      </c>
    </row>
    <row r="41" spans="2:4">
      <c r="B41" s="142" t="s">
        <v>185</v>
      </c>
      <c r="C41" s="150">
        <v>70000</v>
      </c>
      <c r="D41" s="151">
        <v>11000</v>
      </c>
    </row>
    <row r="42" spans="2:4">
      <c r="B42" s="143" t="s">
        <v>321</v>
      </c>
      <c r="C42" s="152">
        <v>75000</v>
      </c>
      <c r="D42" s="153">
        <v>10000</v>
      </c>
    </row>
    <row r="43" spans="2:4">
      <c r="B43" s="142" t="s">
        <v>322</v>
      </c>
      <c r="C43" s="150">
        <v>80000</v>
      </c>
      <c r="D43" s="151">
        <v>9000</v>
      </c>
    </row>
    <row r="44" spans="2:4">
      <c r="B44" s="143" t="s">
        <v>323</v>
      </c>
      <c r="C44" s="152">
        <v>85000</v>
      </c>
      <c r="D44" s="153">
        <v>15000</v>
      </c>
    </row>
    <row r="45" spans="2:4">
      <c r="B45" s="142" t="s">
        <v>324</v>
      </c>
      <c r="C45" s="150">
        <v>90000</v>
      </c>
      <c r="D45" s="151">
        <v>14000</v>
      </c>
    </row>
    <row r="46" spans="2:4">
      <c r="B46" s="143" t="s">
        <v>325</v>
      </c>
      <c r="C46" s="152">
        <v>95000</v>
      </c>
      <c r="D46" s="153">
        <v>12500</v>
      </c>
    </row>
    <row r="47" spans="2:4">
      <c r="B47" s="142" t="s">
        <v>326</v>
      </c>
      <c r="C47" s="150">
        <v>100000</v>
      </c>
      <c r="D47" s="151">
        <v>11000</v>
      </c>
    </row>
    <row r="48" spans="2:4">
      <c r="B48" s="144" t="s">
        <v>327</v>
      </c>
      <c r="C48" s="154">
        <v>105000</v>
      </c>
      <c r="D48" s="155">
        <v>10000</v>
      </c>
    </row>
  </sheetData>
  <mergeCells count="3">
    <mergeCell ref="B2:G2"/>
    <mergeCell ref="B4:G4"/>
    <mergeCell ref="B8:G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B34C-E414-4742-A09B-49D19244F3A3}">
  <sheetPr codeName="Sheet11"/>
  <dimension ref="A1:G195"/>
  <sheetViews>
    <sheetView showGridLines="0" topLeftCell="C21" zoomScale="84" zoomScaleNormal="100" workbookViewId="0">
      <selection activeCell="F41" sqref="F41"/>
    </sheetView>
  </sheetViews>
  <sheetFormatPr defaultRowHeight="15"/>
  <cols>
    <col min="2" max="6" width="30.7109375" customWidth="1"/>
    <col min="7" max="7" width="200.7109375" style="406" customWidth="1"/>
  </cols>
  <sheetData>
    <row r="1" spans="1:7" ht="15.75" thickBot="1">
      <c r="G1" s="405"/>
    </row>
    <row r="2" spans="1:7" ht="29.25" thickBot="1">
      <c r="B2" s="534" t="s">
        <v>174</v>
      </c>
      <c r="C2" s="535"/>
      <c r="D2" s="536"/>
    </row>
    <row r="4" spans="1:7" ht="28.5">
      <c r="B4" s="487" t="s">
        <v>919</v>
      </c>
      <c r="C4" s="488"/>
      <c r="D4" s="490"/>
    </row>
    <row r="6" spans="1:7" ht="26.25">
      <c r="G6" s="409" t="s">
        <v>339</v>
      </c>
    </row>
    <row r="8" spans="1:7" ht="15.75">
      <c r="A8" s="132" t="s">
        <v>315</v>
      </c>
      <c r="B8" s="138" t="s">
        <v>401</v>
      </c>
      <c r="C8" s="138"/>
      <c r="D8" s="138"/>
      <c r="E8" s="138"/>
      <c r="F8" s="1"/>
      <c r="G8" s="414"/>
    </row>
    <row r="10" spans="1:7">
      <c r="B10" s="146" t="s">
        <v>333</v>
      </c>
      <c r="C10" s="156" t="s">
        <v>334</v>
      </c>
      <c r="D10" s="157" t="s">
        <v>335</v>
      </c>
    </row>
    <row r="11" spans="1:7">
      <c r="B11" s="78">
        <v>2014</v>
      </c>
      <c r="C11" s="69">
        <v>2800</v>
      </c>
      <c r="D11" s="79">
        <v>3000</v>
      </c>
    </row>
    <row r="12" spans="1:7">
      <c r="B12" s="78">
        <v>2015</v>
      </c>
      <c r="C12" s="69">
        <v>2750</v>
      </c>
      <c r="D12" s="79">
        <v>3100</v>
      </c>
    </row>
    <row r="13" spans="1:7">
      <c r="B13" s="78">
        <v>2016</v>
      </c>
      <c r="C13" s="69">
        <v>2900</v>
      </c>
      <c r="D13" s="79">
        <v>3200</v>
      </c>
    </row>
    <row r="14" spans="1:7">
      <c r="B14" s="78">
        <v>2017</v>
      </c>
      <c r="C14" s="69">
        <v>3000</v>
      </c>
      <c r="D14" s="79">
        <v>3300</v>
      </c>
    </row>
    <row r="15" spans="1:7">
      <c r="B15" s="78">
        <v>2018</v>
      </c>
      <c r="C15" s="69">
        <v>2950</v>
      </c>
      <c r="D15" s="79">
        <v>3350</v>
      </c>
    </row>
    <row r="16" spans="1:7">
      <c r="B16" s="78">
        <v>2019</v>
      </c>
      <c r="C16" s="69">
        <v>3100</v>
      </c>
      <c r="D16" s="79">
        <v>3400</v>
      </c>
    </row>
    <row r="17" spans="2:7">
      <c r="B17" s="78">
        <v>2020</v>
      </c>
      <c r="C17" s="69">
        <v>3200</v>
      </c>
      <c r="D17" s="79">
        <v>3450</v>
      </c>
    </row>
    <row r="18" spans="2:7">
      <c r="B18" s="78">
        <v>2021</v>
      </c>
      <c r="C18" s="69">
        <v>3150</v>
      </c>
      <c r="D18" s="79">
        <v>3500</v>
      </c>
    </row>
    <row r="19" spans="2:7">
      <c r="B19" s="78">
        <v>2022</v>
      </c>
      <c r="C19" s="69">
        <v>3300</v>
      </c>
      <c r="D19" s="79">
        <v>3550</v>
      </c>
    </row>
    <row r="20" spans="2:7">
      <c r="B20" s="80">
        <v>2023</v>
      </c>
      <c r="C20" s="70">
        <v>3350</v>
      </c>
      <c r="D20" s="81">
        <v>3600</v>
      </c>
    </row>
    <row r="23" spans="2:7">
      <c r="B23" s="149"/>
      <c r="C23" s="149"/>
      <c r="D23" s="149"/>
      <c r="E23" s="149"/>
      <c r="F23" s="149"/>
      <c r="G23" s="415"/>
    </row>
    <row r="31" spans="2:7" ht="26.25">
      <c r="B31" s="158"/>
      <c r="G31" s="409" t="s">
        <v>385</v>
      </c>
    </row>
    <row r="32" spans="2:7">
      <c r="B32" s="158"/>
    </row>
    <row r="33" spans="1:5" ht="15.75">
      <c r="A33" s="132" t="s">
        <v>328</v>
      </c>
      <c r="B33" s="533" t="s">
        <v>386</v>
      </c>
      <c r="C33" s="533"/>
      <c r="D33" s="533"/>
      <c r="E33" s="533"/>
    </row>
    <row r="34" spans="1:5" ht="15.75" thickBot="1">
      <c r="B34" s="158"/>
    </row>
    <row r="35" spans="1:5" ht="19.5" thickBot="1">
      <c r="B35" s="412" t="s">
        <v>342</v>
      </c>
      <c r="C35" s="412" t="s">
        <v>343</v>
      </c>
      <c r="D35" s="413" t="s">
        <v>344</v>
      </c>
    </row>
    <row r="36" spans="1:5" ht="19.5" thickBot="1">
      <c r="B36" s="166" t="s">
        <v>345</v>
      </c>
      <c r="C36" s="166" t="s">
        <v>346</v>
      </c>
      <c r="D36" s="165">
        <v>82.65</v>
      </c>
    </row>
    <row r="37" spans="1:5" ht="19.5" thickBot="1">
      <c r="B37" s="166" t="s">
        <v>347</v>
      </c>
      <c r="C37" s="166" t="s">
        <v>348</v>
      </c>
      <c r="D37" s="165">
        <v>40.24</v>
      </c>
    </row>
    <row r="38" spans="1:5" ht="19.5" thickBot="1">
      <c r="B38" s="166" t="s">
        <v>349</v>
      </c>
      <c r="C38" s="166" t="s">
        <v>350</v>
      </c>
      <c r="D38" s="165">
        <v>35.979999999999997</v>
      </c>
    </row>
    <row r="39" spans="1:5" ht="19.5" thickBot="1">
      <c r="B39" s="166" t="s">
        <v>351</v>
      </c>
      <c r="C39" s="166" t="s">
        <v>352</v>
      </c>
      <c r="D39" s="165">
        <v>32.9</v>
      </c>
    </row>
    <row r="40" spans="1:5" ht="19.5" thickBot="1">
      <c r="B40" s="166" t="s">
        <v>353</v>
      </c>
      <c r="C40" s="166" t="s">
        <v>354</v>
      </c>
      <c r="D40" s="165">
        <v>31.37</v>
      </c>
    </row>
    <row r="41" spans="1:5" ht="19.5" thickBot="1">
      <c r="B41" s="166" t="s">
        <v>355</v>
      </c>
      <c r="C41" s="166" t="s">
        <v>356</v>
      </c>
      <c r="D41" s="165">
        <v>30.26</v>
      </c>
    </row>
    <row r="42" spans="1:5" ht="19.5" thickBot="1">
      <c r="B42" s="166" t="s">
        <v>357</v>
      </c>
      <c r="C42" s="166" t="s">
        <v>358</v>
      </c>
      <c r="D42" s="165">
        <v>29.85</v>
      </c>
    </row>
    <row r="43" spans="1:5" ht="19.5" thickBot="1">
      <c r="B43" s="166" t="s">
        <v>359</v>
      </c>
      <c r="C43" s="166" t="s">
        <v>360</v>
      </c>
      <c r="D43" s="165">
        <v>28.92</v>
      </c>
    </row>
    <row r="44" spans="1:5" ht="19.5" thickBot="1">
      <c r="B44" s="166" t="s">
        <v>361</v>
      </c>
      <c r="C44" s="166" t="s">
        <v>384</v>
      </c>
      <c r="D44" s="165">
        <v>28.51</v>
      </c>
    </row>
    <row r="45" spans="1:5" ht="19.5" thickBot="1">
      <c r="B45" s="166" t="s">
        <v>362</v>
      </c>
      <c r="C45" s="166" t="s">
        <v>363</v>
      </c>
      <c r="D45" s="165">
        <v>28.31</v>
      </c>
    </row>
    <row r="46" spans="1:5" ht="19.5" thickBot="1">
      <c r="B46" s="166" t="s">
        <v>364</v>
      </c>
      <c r="C46" s="166" t="s">
        <v>365</v>
      </c>
      <c r="D46" s="165">
        <v>24.68</v>
      </c>
    </row>
    <row r="47" spans="1:5" ht="19.5" thickBot="1">
      <c r="B47" s="166" t="s">
        <v>366</v>
      </c>
      <c r="C47" s="166" t="s">
        <v>367</v>
      </c>
      <c r="D47" s="165">
        <v>23.26</v>
      </c>
    </row>
    <row r="48" spans="1:5" ht="19.5" thickBot="1">
      <c r="B48" s="166" t="s">
        <v>368</v>
      </c>
      <c r="C48" s="166" t="s">
        <v>369</v>
      </c>
      <c r="D48" s="165">
        <v>23.1</v>
      </c>
    </row>
    <row r="49" spans="2:4" ht="19.5" thickBot="1">
      <c r="B49" s="166" t="s">
        <v>370</v>
      </c>
      <c r="C49" s="166" t="s">
        <v>371</v>
      </c>
      <c r="D49" s="165">
        <v>22.7</v>
      </c>
    </row>
    <row r="50" spans="2:4" ht="19.5" thickBot="1">
      <c r="B50" s="166" t="s">
        <v>372</v>
      </c>
      <c r="C50" s="166" t="s">
        <v>373</v>
      </c>
      <c r="D50" s="165">
        <v>22.1</v>
      </c>
    </row>
    <row r="51" spans="2:4" ht="19.5" thickBot="1">
      <c r="B51" s="166" t="s">
        <v>374</v>
      </c>
      <c r="C51" s="166" t="s">
        <v>375</v>
      </c>
      <c r="D51" s="165">
        <v>21.81</v>
      </c>
    </row>
    <row r="52" spans="2:4" ht="19.5" thickBot="1">
      <c r="B52" s="166" t="s">
        <v>376</v>
      </c>
      <c r="C52" s="166" t="s">
        <v>377</v>
      </c>
      <c r="D52" s="165">
        <v>20.81</v>
      </c>
    </row>
    <row r="53" spans="2:4" ht="19.5" thickBot="1">
      <c r="B53" s="166" t="s">
        <v>378</v>
      </c>
      <c r="C53" s="166" t="s">
        <v>379</v>
      </c>
      <c r="D53" s="165">
        <v>20.61</v>
      </c>
    </row>
    <row r="54" spans="2:4" ht="19.5" thickBot="1">
      <c r="B54" s="166" t="s">
        <v>380</v>
      </c>
      <c r="C54" s="166" t="s">
        <v>381</v>
      </c>
      <c r="D54" s="165">
        <v>20.32</v>
      </c>
    </row>
    <row r="55" spans="2:4" ht="19.5" thickBot="1">
      <c r="B55" s="164" t="s">
        <v>382</v>
      </c>
      <c r="C55" s="164" t="s">
        <v>383</v>
      </c>
      <c r="D55" s="163">
        <v>20.16</v>
      </c>
    </row>
    <row r="76" spans="1:7" ht="26.25">
      <c r="G76" s="409" t="s">
        <v>341</v>
      </c>
    </row>
    <row r="78" spans="1:7">
      <c r="A78" t="s">
        <v>331</v>
      </c>
      <c r="B78" s="528" t="s">
        <v>338</v>
      </c>
      <c r="C78" s="528"/>
      <c r="D78" s="528"/>
      <c r="E78" s="528"/>
    </row>
    <row r="80" spans="1:7">
      <c r="B80" s="159" t="s">
        <v>23</v>
      </c>
      <c r="C80" s="160" t="s">
        <v>336</v>
      </c>
      <c r="D80" s="161" t="s">
        <v>337</v>
      </c>
    </row>
    <row r="81" spans="2:4">
      <c r="B81" s="167">
        <v>45345</v>
      </c>
      <c r="C81" s="6">
        <v>26.2</v>
      </c>
      <c r="D81" s="24">
        <v>7.6</v>
      </c>
    </row>
    <row r="82" spans="2:4">
      <c r="B82" s="167">
        <v>45346</v>
      </c>
      <c r="C82" s="6">
        <v>24.4</v>
      </c>
      <c r="D82" s="24">
        <v>8.6999999999999993</v>
      </c>
    </row>
    <row r="83" spans="2:4">
      <c r="B83" s="167">
        <v>45347</v>
      </c>
      <c r="C83" s="6">
        <v>24.6</v>
      </c>
      <c r="D83" s="24">
        <v>8.3000000000000007</v>
      </c>
    </row>
    <row r="84" spans="2:4">
      <c r="B84" s="167">
        <v>45348</v>
      </c>
      <c r="C84" s="6">
        <v>27</v>
      </c>
      <c r="D84" s="24">
        <v>9.9</v>
      </c>
    </row>
    <row r="85" spans="2:4">
      <c r="B85" s="167">
        <v>45349</v>
      </c>
      <c r="C85" s="6">
        <v>25</v>
      </c>
      <c r="D85" s="24">
        <v>12.3</v>
      </c>
    </row>
    <row r="86" spans="2:4">
      <c r="B86" s="167">
        <v>45350</v>
      </c>
      <c r="C86" s="6">
        <v>25.4</v>
      </c>
      <c r="D86" s="24">
        <v>10.7</v>
      </c>
    </row>
    <row r="87" spans="2:4">
      <c r="B87" s="167">
        <v>45351</v>
      </c>
      <c r="C87" s="6">
        <v>25.5</v>
      </c>
      <c r="D87" s="24">
        <v>11.4</v>
      </c>
    </row>
    <row r="88" spans="2:4">
      <c r="B88" s="167">
        <v>45352</v>
      </c>
      <c r="C88" s="6">
        <v>27.6</v>
      </c>
      <c r="D88" s="24">
        <v>10.8</v>
      </c>
    </row>
    <row r="89" spans="2:4">
      <c r="B89" s="167">
        <v>45353</v>
      </c>
      <c r="C89" s="6">
        <v>29.6</v>
      </c>
      <c r="D89" s="24">
        <v>15</v>
      </c>
    </row>
    <row r="90" spans="2:4">
      <c r="B90" s="167">
        <v>45354</v>
      </c>
      <c r="C90" s="6">
        <v>25.2</v>
      </c>
      <c r="D90" s="24">
        <v>13.7</v>
      </c>
    </row>
    <row r="91" spans="2:4">
      <c r="B91" s="167">
        <v>45355</v>
      </c>
      <c r="C91" s="6">
        <v>26.2</v>
      </c>
      <c r="D91" s="24">
        <v>9.5</v>
      </c>
    </row>
    <row r="92" spans="2:4">
      <c r="B92" s="167">
        <v>45356</v>
      </c>
      <c r="C92" s="6">
        <v>24.9</v>
      </c>
      <c r="D92" s="24">
        <v>9</v>
      </c>
    </row>
    <row r="93" spans="2:4">
      <c r="B93" s="167">
        <v>45357</v>
      </c>
      <c r="C93" s="6">
        <v>23.4</v>
      </c>
      <c r="D93" s="24">
        <v>9</v>
      </c>
    </row>
    <row r="94" spans="2:4">
      <c r="B94" s="167">
        <v>45358</v>
      </c>
      <c r="C94" s="6">
        <v>23.6</v>
      </c>
      <c r="D94" s="24">
        <v>8.8000000000000007</v>
      </c>
    </row>
    <row r="95" spans="2:4">
      <c r="B95" s="167">
        <v>45359</v>
      </c>
      <c r="C95" s="6">
        <v>26.4</v>
      </c>
      <c r="D95" s="24">
        <v>9.6</v>
      </c>
    </row>
    <row r="96" spans="2:4">
      <c r="B96" s="167">
        <v>45360</v>
      </c>
      <c r="C96" s="6">
        <v>27.4</v>
      </c>
      <c r="D96" s="24">
        <v>10</v>
      </c>
    </row>
    <row r="97" spans="2:4">
      <c r="B97" s="167">
        <v>45361</v>
      </c>
      <c r="C97" s="6">
        <v>26.9</v>
      </c>
      <c r="D97" s="24">
        <v>10</v>
      </c>
    </row>
    <row r="98" spans="2:4">
      <c r="B98" s="167">
        <v>45362</v>
      </c>
      <c r="C98" s="6">
        <v>28.4</v>
      </c>
      <c r="D98" s="24">
        <v>13.3</v>
      </c>
    </row>
    <row r="99" spans="2:4">
      <c r="B99" s="167">
        <v>45363</v>
      </c>
      <c r="C99" s="6">
        <v>31.4</v>
      </c>
      <c r="D99" s="24">
        <v>14.2</v>
      </c>
    </row>
    <row r="100" spans="2:4">
      <c r="B100" s="167">
        <v>45364</v>
      </c>
      <c r="C100" s="6">
        <v>30.9</v>
      </c>
      <c r="D100" s="24">
        <v>13</v>
      </c>
    </row>
    <row r="101" spans="2:4">
      <c r="B101" s="167">
        <v>45365</v>
      </c>
      <c r="C101" s="6">
        <v>31.4</v>
      </c>
      <c r="D101" s="24">
        <v>14.6</v>
      </c>
    </row>
    <row r="102" spans="2:4">
      <c r="B102" s="167">
        <v>45366</v>
      </c>
      <c r="C102" s="6">
        <v>30.4</v>
      </c>
      <c r="D102" s="24">
        <v>13.9</v>
      </c>
    </row>
    <row r="103" spans="2:4">
      <c r="B103" s="167">
        <v>45367</v>
      </c>
      <c r="C103" s="6">
        <v>28.7</v>
      </c>
      <c r="D103" s="24">
        <v>10.1</v>
      </c>
    </row>
    <row r="104" spans="2:4">
      <c r="B104" s="167">
        <v>45368</v>
      </c>
      <c r="C104" s="6">
        <v>30.3</v>
      </c>
      <c r="D104" s="24">
        <v>11.9</v>
      </c>
    </row>
    <row r="105" spans="2:4">
      <c r="B105" s="167">
        <v>45369</v>
      </c>
      <c r="C105" s="6">
        <v>30.8</v>
      </c>
      <c r="D105" s="24">
        <v>12.2</v>
      </c>
    </row>
    <row r="106" spans="2:4">
      <c r="B106" s="167">
        <v>45370</v>
      </c>
      <c r="C106" s="6">
        <v>30.6</v>
      </c>
      <c r="D106" s="24">
        <v>12.2</v>
      </c>
    </row>
    <row r="107" spans="2:4">
      <c r="B107" s="167">
        <v>45371</v>
      </c>
      <c r="C107" s="6">
        <v>31.3</v>
      </c>
      <c r="D107" s="24">
        <v>13.7</v>
      </c>
    </row>
    <row r="108" spans="2:4">
      <c r="B108" s="167">
        <v>45372</v>
      </c>
      <c r="C108" s="6">
        <v>33.6</v>
      </c>
      <c r="D108" s="24">
        <v>16.399999999999999</v>
      </c>
    </row>
    <row r="109" spans="2:4">
      <c r="B109" s="167">
        <v>45373</v>
      </c>
      <c r="C109" s="6">
        <v>30.1</v>
      </c>
      <c r="D109" s="24">
        <v>18</v>
      </c>
    </row>
    <row r="110" spans="2:4">
      <c r="B110" s="167">
        <v>45374</v>
      </c>
      <c r="C110" s="6">
        <v>32.6</v>
      </c>
      <c r="D110" s="24">
        <v>16.2</v>
      </c>
    </row>
    <row r="111" spans="2:4">
      <c r="B111" s="167">
        <v>45375</v>
      </c>
      <c r="C111" s="6">
        <v>34.1</v>
      </c>
      <c r="D111" s="24">
        <v>16.899999999999999</v>
      </c>
    </row>
    <row r="112" spans="2:4">
      <c r="B112" s="167">
        <v>45376</v>
      </c>
      <c r="C112" s="6">
        <v>29.8</v>
      </c>
      <c r="D112" s="24">
        <v>15.8</v>
      </c>
    </row>
    <row r="113" spans="2:4">
      <c r="B113" s="167">
        <v>45377</v>
      </c>
      <c r="C113" s="6">
        <v>33.200000000000003</v>
      </c>
      <c r="D113" s="24">
        <v>17.7</v>
      </c>
    </row>
    <row r="114" spans="2:4">
      <c r="B114" s="167">
        <v>45378</v>
      </c>
      <c r="C114" s="6">
        <v>34.6</v>
      </c>
      <c r="D114" s="24">
        <v>19.399999999999999</v>
      </c>
    </row>
    <row r="115" spans="2:4">
      <c r="B115" s="167">
        <v>45379</v>
      </c>
      <c r="C115" s="6">
        <v>37</v>
      </c>
      <c r="D115" s="24">
        <v>21.2</v>
      </c>
    </row>
    <row r="116" spans="2:4">
      <c r="B116" s="167">
        <v>45380</v>
      </c>
      <c r="C116" s="6">
        <v>37</v>
      </c>
      <c r="D116" s="24">
        <v>20.5</v>
      </c>
    </row>
    <row r="117" spans="2:4">
      <c r="B117" s="167">
        <v>45381</v>
      </c>
      <c r="C117" s="6">
        <v>37.799999999999997</v>
      </c>
      <c r="D117" s="24">
        <v>21.8</v>
      </c>
    </row>
    <row r="118" spans="2:4">
      <c r="B118" s="167">
        <v>45382</v>
      </c>
      <c r="C118" s="6">
        <v>35.200000000000003</v>
      </c>
      <c r="D118" s="24">
        <v>21.3</v>
      </c>
    </row>
    <row r="119" spans="2:4">
      <c r="B119" s="167">
        <v>45383</v>
      </c>
      <c r="C119" s="6">
        <v>35.200000000000003</v>
      </c>
      <c r="D119" s="24">
        <v>18.399999999999999</v>
      </c>
    </row>
    <row r="120" spans="2:4">
      <c r="B120" s="167">
        <v>45384</v>
      </c>
      <c r="C120" s="6">
        <v>31.6</v>
      </c>
      <c r="D120" s="24">
        <v>15.8</v>
      </c>
    </row>
    <row r="121" spans="2:4">
      <c r="B121" s="167">
        <v>45385</v>
      </c>
      <c r="C121" s="6">
        <v>33.5</v>
      </c>
      <c r="D121" s="24">
        <v>17.3</v>
      </c>
    </row>
    <row r="122" spans="2:4">
      <c r="B122" s="167">
        <v>45386</v>
      </c>
      <c r="C122" s="6">
        <v>36.6</v>
      </c>
      <c r="D122" s="24">
        <v>20.399999999999999</v>
      </c>
    </row>
    <row r="123" spans="2:4">
      <c r="B123" s="167">
        <v>45387</v>
      </c>
      <c r="C123" s="6">
        <v>36.799999999999997</v>
      </c>
      <c r="D123" s="24">
        <v>20.2</v>
      </c>
    </row>
    <row r="124" spans="2:4">
      <c r="B124" s="167">
        <v>45388</v>
      </c>
      <c r="C124" s="6">
        <v>36.4</v>
      </c>
      <c r="D124" s="24">
        <v>20.2</v>
      </c>
    </row>
    <row r="125" spans="2:4">
      <c r="B125" s="167">
        <v>45389</v>
      </c>
      <c r="C125" s="6">
        <v>35.1</v>
      </c>
      <c r="D125" s="24">
        <v>16.3</v>
      </c>
    </row>
    <row r="126" spans="2:4">
      <c r="B126" s="167">
        <v>45390</v>
      </c>
      <c r="C126" s="6">
        <v>35.6</v>
      </c>
      <c r="D126" s="24">
        <v>17.399999999999999</v>
      </c>
    </row>
    <row r="127" spans="2:4">
      <c r="B127" s="167">
        <v>45391</v>
      </c>
      <c r="C127" s="6">
        <v>37.1</v>
      </c>
      <c r="D127" s="24">
        <v>17.7</v>
      </c>
    </row>
    <row r="128" spans="2:4">
      <c r="B128" s="167">
        <v>45392</v>
      </c>
      <c r="C128" s="6">
        <v>38</v>
      </c>
      <c r="D128" s="24">
        <v>17</v>
      </c>
    </row>
    <row r="129" spans="2:4">
      <c r="B129" s="167">
        <v>45393</v>
      </c>
      <c r="C129" s="6">
        <v>39.1</v>
      </c>
      <c r="D129" s="24">
        <v>19.600000000000001</v>
      </c>
    </row>
    <row r="130" spans="2:4">
      <c r="B130" s="167">
        <v>45394</v>
      </c>
      <c r="C130" s="6">
        <v>39</v>
      </c>
      <c r="D130" s="24">
        <v>21.7</v>
      </c>
    </row>
    <row r="131" spans="2:4">
      <c r="B131" s="167">
        <v>45395</v>
      </c>
      <c r="C131" s="6">
        <v>39.4</v>
      </c>
      <c r="D131" s="24">
        <v>23</v>
      </c>
    </row>
    <row r="132" spans="2:4">
      <c r="B132" s="167">
        <v>45396</v>
      </c>
      <c r="C132" s="6">
        <v>39.299999999999997</v>
      </c>
      <c r="D132" s="24">
        <v>21.4</v>
      </c>
    </row>
    <row r="133" spans="2:4">
      <c r="B133" s="167">
        <v>45397</v>
      </c>
      <c r="C133" s="6">
        <v>32.200000000000003</v>
      </c>
      <c r="D133" s="24">
        <v>21.6</v>
      </c>
    </row>
    <row r="134" spans="2:4">
      <c r="B134" s="167">
        <v>45398</v>
      </c>
      <c r="C134" s="6">
        <v>35.200000000000003</v>
      </c>
      <c r="D134" s="24">
        <v>24.8</v>
      </c>
    </row>
    <row r="135" spans="2:4">
      <c r="B135" s="167">
        <v>45399</v>
      </c>
      <c r="C135" s="6">
        <v>25</v>
      </c>
      <c r="D135" s="24">
        <v>25</v>
      </c>
    </row>
    <row r="136" spans="2:4">
      <c r="B136" s="167">
        <v>45400</v>
      </c>
      <c r="C136" s="6">
        <v>25</v>
      </c>
      <c r="D136" s="24">
        <v>25</v>
      </c>
    </row>
    <row r="137" spans="2:4">
      <c r="B137" s="167">
        <v>45401</v>
      </c>
      <c r="C137" s="6">
        <v>39.200000000000003</v>
      </c>
      <c r="D137" s="24">
        <v>24.3</v>
      </c>
    </row>
    <row r="138" spans="2:4">
      <c r="B138" s="167">
        <v>45402</v>
      </c>
      <c r="C138" s="6">
        <v>39.4</v>
      </c>
      <c r="D138" s="24">
        <v>23.3</v>
      </c>
    </row>
    <row r="139" spans="2:4">
      <c r="B139" s="167">
        <v>45403</v>
      </c>
      <c r="C139" s="6">
        <v>37.200000000000003</v>
      </c>
      <c r="D139" s="24">
        <v>24</v>
      </c>
    </row>
    <row r="140" spans="2:4">
      <c r="B140" s="167">
        <v>45404</v>
      </c>
      <c r="C140" s="6">
        <v>36.799999999999997</v>
      </c>
      <c r="D140" s="24">
        <v>23</v>
      </c>
    </row>
    <row r="141" spans="2:4">
      <c r="B141" s="167">
        <v>45405</v>
      </c>
      <c r="C141" s="6">
        <v>37.6</v>
      </c>
      <c r="D141" s="24">
        <v>22.6</v>
      </c>
    </row>
    <row r="142" spans="2:4">
      <c r="B142" s="167">
        <v>45406</v>
      </c>
      <c r="C142" s="6">
        <v>36.799999999999997</v>
      </c>
      <c r="D142" s="24">
        <v>19</v>
      </c>
    </row>
    <row r="143" spans="2:4">
      <c r="B143" s="167">
        <v>45407</v>
      </c>
      <c r="C143" s="6">
        <v>37.5</v>
      </c>
      <c r="D143" s="24">
        <v>20</v>
      </c>
    </row>
    <row r="144" spans="2:4">
      <c r="B144" s="167">
        <v>45408</v>
      </c>
      <c r="C144" s="6">
        <v>39.4</v>
      </c>
      <c r="D144" s="24">
        <v>21.6</v>
      </c>
    </row>
    <row r="145" spans="2:4">
      <c r="B145" s="167">
        <v>45409</v>
      </c>
      <c r="C145" s="6">
        <v>40.5</v>
      </c>
      <c r="D145" s="24">
        <v>22.7</v>
      </c>
    </row>
    <row r="146" spans="2:4">
      <c r="B146" s="167">
        <v>45410</v>
      </c>
      <c r="C146" s="6">
        <v>38</v>
      </c>
      <c r="D146" s="24">
        <v>23.5</v>
      </c>
    </row>
    <row r="147" spans="2:4">
      <c r="B147" s="167">
        <v>45411</v>
      </c>
      <c r="C147" s="6">
        <v>38.200000000000003</v>
      </c>
      <c r="D147" s="24">
        <v>22.8</v>
      </c>
    </row>
    <row r="148" spans="2:4">
      <c r="B148" s="167">
        <v>45412</v>
      </c>
      <c r="C148" s="6">
        <v>38.299999999999997</v>
      </c>
      <c r="D148" s="24">
        <v>22.2</v>
      </c>
    </row>
    <row r="149" spans="2:4">
      <c r="B149" s="167">
        <v>45413</v>
      </c>
      <c r="C149" s="6">
        <v>36.5</v>
      </c>
      <c r="D149" s="24">
        <v>21</v>
      </c>
    </row>
    <row r="150" spans="2:4">
      <c r="B150" s="167">
        <v>45414</v>
      </c>
      <c r="C150" s="6">
        <v>33.700000000000003</v>
      </c>
      <c r="D150" s="24">
        <v>19.3</v>
      </c>
    </row>
    <row r="151" spans="2:4">
      <c r="B151" s="167">
        <v>45415</v>
      </c>
      <c r="C151" s="6">
        <v>35.5</v>
      </c>
      <c r="D151" s="24">
        <v>18.3</v>
      </c>
    </row>
    <row r="152" spans="2:4">
      <c r="B152" s="167">
        <v>45416</v>
      </c>
      <c r="C152" s="6">
        <v>38.1</v>
      </c>
      <c r="D152" s="24">
        <v>23.2</v>
      </c>
    </row>
    <row r="153" spans="2:4">
      <c r="B153" s="167">
        <v>45417</v>
      </c>
      <c r="C153" s="6">
        <v>40.299999999999997</v>
      </c>
      <c r="D153" s="24">
        <v>22.7</v>
      </c>
    </row>
    <row r="154" spans="2:4">
      <c r="B154" s="167">
        <v>45418</v>
      </c>
      <c r="C154" s="6">
        <v>41.1</v>
      </c>
      <c r="D154" s="24">
        <v>24.4</v>
      </c>
    </row>
    <row r="155" spans="2:4">
      <c r="B155" s="167">
        <v>45419</v>
      </c>
      <c r="C155" s="6">
        <v>40.700000000000003</v>
      </c>
      <c r="D155" s="24">
        <v>24.2</v>
      </c>
    </row>
    <row r="156" spans="2:4">
      <c r="B156" s="167">
        <v>45420</v>
      </c>
      <c r="C156" s="6">
        <v>42</v>
      </c>
      <c r="D156" s="24">
        <v>27.5</v>
      </c>
    </row>
    <row r="157" spans="2:4">
      <c r="B157" s="167">
        <v>45421</v>
      </c>
      <c r="C157" s="6">
        <v>38.200000000000003</v>
      </c>
      <c r="D157" s="24">
        <v>26</v>
      </c>
    </row>
    <row r="158" spans="2:4">
      <c r="B158" s="167">
        <v>45422</v>
      </c>
      <c r="C158" s="6">
        <v>38.799999999999997</v>
      </c>
      <c r="D158" s="24">
        <v>27.7</v>
      </c>
    </row>
    <row r="159" spans="2:4">
      <c r="B159" s="167">
        <v>45423</v>
      </c>
      <c r="C159" s="6">
        <v>39</v>
      </c>
      <c r="D159" s="24">
        <v>24.9</v>
      </c>
    </row>
    <row r="160" spans="2:4">
      <c r="B160" s="167">
        <v>45424</v>
      </c>
      <c r="C160" s="6">
        <v>38.700000000000003</v>
      </c>
      <c r="D160" s="24">
        <v>25.8</v>
      </c>
    </row>
    <row r="161" spans="2:4">
      <c r="B161" s="167">
        <v>45425</v>
      </c>
      <c r="C161" s="6">
        <v>39.799999999999997</v>
      </c>
      <c r="D161" s="24">
        <v>27.5</v>
      </c>
    </row>
    <row r="162" spans="2:4">
      <c r="B162" s="167">
        <v>45426</v>
      </c>
      <c r="C162" s="6">
        <v>40.200000000000003</v>
      </c>
      <c r="D162" s="24">
        <v>23.9</v>
      </c>
    </row>
    <row r="163" spans="2:4">
      <c r="B163" s="167">
        <v>45427</v>
      </c>
      <c r="C163" s="6">
        <v>40.6</v>
      </c>
      <c r="D163" s="24">
        <v>22.9</v>
      </c>
    </row>
    <row r="164" spans="2:4">
      <c r="B164" s="167">
        <v>45428</v>
      </c>
      <c r="C164" s="6">
        <v>41.2</v>
      </c>
      <c r="D164" s="24">
        <v>24.8</v>
      </c>
    </row>
    <row r="165" spans="2:4">
      <c r="B165" s="167">
        <v>45429</v>
      </c>
      <c r="C165" s="6">
        <v>42.5</v>
      </c>
      <c r="D165" s="24">
        <v>25.4</v>
      </c>
    </row>
    <row r="166" spans="2:4">
      <c r="B166" s="167">
        <v>45430</v>
      </c>
      <c r="C166" s="6">
        <v>43.6</v>
      </c>
      <c r="D166" s="24">
        <v>27.1</v>
      </c>
    </row>
    <row r="167" spans="2:4">
      <c r="B167" s="167">
        <v>45431</v>
      </c>
      <c r="C167" s="6">
        <v>43.7</v>
      </c>
      <c r="D167" s="24">
        <v>28.2</v>
      </c>
    </row>
    <row r="168" spans="2:4">
      <c r="B168" s="167">
        <v>45432</v>
      </c>
      <c r="C168" s="6">
        <v>44.4</v>
      </c>
      <c r="D168" s="24">
        <v>29.2</v>
      </c>
    </row>
    <row r="169" spans="2:4">
      <c r="B169" s="167">
        <v>45433</v>
      </c>
      <c r="C169" s="6">
        <v>44.1</v>
      </c>
      <c r="D169" s="24">
        <v>30.7</v>
      </c>
    </row>
    <row r="170" spans="2:4">
      <c r="B170" s="167">
        <v>45434</v>
      </c>
      <c r="C170" s="6">
        <v>42.4</v>
      </c>
      <c r="D170" s="24">
        <v>30.9</v>
      </c>
    </row>
    <row r="171" spans="2:4">
      <c r="B171" s="167">
        <v>45435</v>
      </c>
      <c r="C171" s="6">
        <v>43.4</v>
      </c>
      <c r="D171" s="24">
        <v>30.6</v>
      </c>
    </row>
    <row r="172" spans="2:4">
      <c r="B172" s="167">
        <v>45436</v>
      </c>
      <c r="C172" s="6">
        <v>41</v>
      </c>
      <c r="D172" s="24">
        <v>30.8</v>
      </c>
    </row>
    <row r="173" spans="2:4">
      <c r="B173" s="167">
        <v>45437</v>
      </c>
      <c r="C173" s="6">
        <v>41.7</v>
      </c>
      <c r="D173" s="24">
        <v>30.6</v>
      </c>
    </row>
    <row r="174" spans="2:4">
      <c r="B174" s="167">
        <v>45438</v>
      </c>
      <c r="C174" s="6">
        <v>43.4</v>
      </c>
      <c r="D174" s="24">
        <v>27</v>
      </c>
    </row>
    <row r="175" spans="2:4">
      <c r="B175" s="167">
        <v>45439</v>
      </c>
      <c r="C175" s="6">
        <v>45.4</v>
      </c>
      <c r="D175" s="24">
        <v>29.2</v>
      </c>
    </row>
    <row r="176" spans="2:4">
      <c r="B176" s="167">
        <v>45440</v>
      </c>
      <c r="C176" s="6">
        <v>45.1</v>
      </c>
      <c r="D176" s="24">
        <v>27.4</v>
      </c>
    </row>
    <row r="177" spans="2:4">
      <c r="B177" s="167">
        <v>45441</v>
      </c>
      <c r="C177" s="6">
        <v>45.8</v>
      </c>
      <c r="D177" s="24">
        <v>29.4</v>
      </c>
    </row>
    <row r="178" spans="2:4">
      <c r="B178" s="167">
        <v>45442</v>
      </c>
      <c r="C178" s="6">
        <v>46.8</v>
      </c>
      <c r="D178" s="24">
        <v>30.4</v>
      </c>
    </row>
    <row r="179" spans="2:4">
      <c r="B179" s="167">
        <v>45443</v>
      </c>
      <c r="C179" s="6">
        <v>45.6</v>
      </c>
      <c r="D179" s="24">
        <v>29</v>
      </c>
    </row>
    <row r="180" spans="2:4">
      <c r="B180" s="167">
        <v>45444</v>
      </c>
      <c r="C180" s="6">
        <v>45.8</v>
      </c>
      <c r="D180" s="24">
        <v>30.2</v>
      </c>
    </row>
    <row r="181" spans="2:4">
      <c r="B181" s="167">
        <v>45445</v>
      </c>
      <c r="C181" s="6">
        <v>44.2</v>
      </c>
      <c r="D181" s="24">
        <v>30.4</v>
      </c>
    </row>
    <row r="182" spans="2:4">
      <c r="B182" s="167">
        <v>45446</v>
      </c>
      <c r="C182" s="6">
        <v>42.8</v>
      </c>
      <c r="D182" s="24">
        <v>30.2</v>
      </c>
    </row>
    <row r="183" spans="2:4">
      <c r="B183" s="167">
        <v>45447</v>
      </c>
      <c r="C183" s="6">
        <v>44.7</v>
      </c>
      <c r="D183" s="24">
        <v>30.4</v>
      </c>
    </row>
    <row r="184" spans="2:4">
      <c r="B184" s="167">
        <v>45448</v>
      </c>
      <c r="C184" s="6">
        <v>43.8</v>
      </c>
      <c r="D184" s="24">
        <v>31</v>
      </c>
    </row>
    <row r="185" spans="2:4">
      <c r="B185" s="167">
        <v>45449</v>
      </c>
      <c r="C185" s="6">
        <v>44</v>
      </c>
      <c r="D185" s="24">
        <v>24.6</v>
      </c>
    </row>
    <row r="186" spans="2:4">
      <c r="B186" s="167">
        <v>45450</v>
      </c>
      <c r="C186" s="6">
        <v>41.2</v>
      </c>
      <c r="D186" s="24">
        <v>28</v>
      </c>
    </row>
    <row r="187" spans="2:4">
      <c r="B187" s="167">
        <v>45451</v>
      </c>
      <c r="C187" s="6">
        <v>43</v>
      </c>
      <c r="D187" s="24">
        <v>30</v>
      </c>
    </row>
    <row r="188" spans="2:4">
      <c r="B188" s="167">
        <v>45452</v>
      </c>
      <c r="C188" s="6">
        <v>41.4</v>
      </c>
      <c r="D188" s="24">
        <v>27.4</v>
      </c>
    </row>
    <row r="189" spans="2:4">
      <c r="B189" s="167">
        <v>45453</v>
      </c>
      <c r="C189" s="6">
        <v>42.5</v>
      </c>
      <c r="D189" s="24">
        <v>28.6</v>
      </c>
    </row>
    <row r="190" spans="2:4">
      <c r="B190" s="167">
        <v>45454</v>
      </c>
      <c r="C190" s="6">
        <v>43.4</v>
      </c>
      <c r="D190" s="24">
        <v>28</v>
      </c>
    </row>
    <row r="191" spans="2:4">
      <c r="B191" s="167">
        <v>45455</v>
      </c>
      <c r="C191" s="6">
        <v>43.8</v>
      </c>
      <c r="D191" s="24">
        <v>28.5</v>
      </c>
    </row>
    <row r="192" spans="2:4">
      <c r="B192" s="167">
        <v>45456</v>
      </c>
      <c r="C192" s="6">
        <v>44.7</v>
      </c>
      <c r="D192" s="24">
        <v>29.4</v>
      </c>
    </row>
    <row r="193" spans="2:4">
      <c r="B193" s="167">
        <v>45457</v>
      </c>
      <c r="C193" s="6">
        <v>44.8</v>
      </c>
      <c r="D193" s="24">
        <v>33.299999999999997</v>
      </c>
    </row>
    <row r="194" spans="2:4">
      <c r="B194" s="168">
        <v>45458</v>
      </c>
      <c r="C194" s="126">
        <v>44</v>
      </c>
      <c r="D194" s="26">
        <v>32.4</v>
      </c>
    </row>
    <row r="195" spans="2:4">
      <c r="B195" s="158"/>
    </row>
  </sheetData>
  <mergeCells count="4">
    <mergeCell ref="B78:E78"/>
    <mergeCell ref="B33:E33"/>
    <mergeCell ref="B2:D2"/>
    <mergeCell ref="B4:D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9358-D40E-496A-9090-452F93240FAB}">
  <sheetPr codeName="Sheet12"/>
  <dimension ref="A1:I59"/>
  <sheetViews>
    <sheetView showGridLines="0" topLeftCell="A22" zoomScale="68" zoomScaleNormal="90" workbookViewId="0">
      <selection activeCell="G33" sqref="G33"/>
    </sheetView>
  </sheetViews>
  <sheetFormatPr defaultRowHeight="15"/>
  <cols>
    <col min="2" max="8" width="30.7109375" customWidth="1"/>
    <col min="9" max="9" width="200.7109375" style="410" customWidth="1"/>
  </cols>
  <sheetData>
    <row r="1" spans="1:9" ht="15.75" thickBot="1"/>
    <row r="2" spans="1:9" ht="29.25" thickBot="1">
      <c r="B2" s="534" t="s">
        <v>174</v>
      </c>
      <c r="C2" s="535"/>
      <c r="D2" s="535"/>
      <c r="E2" s="535"/>
      <c r="F2" s="535"/>
      <c r="G2" s="536"/>
    </row>
    <row r="4" spans="1:9" ht="28.5">
      <c r="B4" s="520" t="s">
        <v>920</v>
      </c>
      <c r="C4" s="489"/>
      <c r="D4" s="489"/>
      <c r="E4" s="489"/>
      <c r="F4" s="489"/>
      <c r="G4" s="521"/>
    </row>
    <row r="5" spans="1:9" ht="15.75">
      <c r="B5" s="177"/>
      <c r="C5" s="177"/>
      <c r="D5" s="177"/>
    </row>
    <row r="6" spans="1:9" ht="26.25">
      <c r="B6" s="177"/>
      <c r="C6" s="177"/>
      <c r="D6" s="177"/>
      <c r="I6" s="411" t="s">
        <v>400</v>
      </c>
    </row>
    <row r="8" spans="1:9" ht="15.75">
      <c r="A8" s="149" t="s">
        <v>315</v>
      </c>
      <c r="B8" s="538" t="s">
        <v>395</v>
      </c>
      <c r="C8" s="538"/>
      <c r="D8" s="538"/>
      <c r="E8" s="538"/>
      <c r="F8" s="538"/>
      <c r="G8" s="538"/>
    </row>
    <row r="10" spans="1:9" ht="21">
      <c r="B10" s="74"/>
      <c r="D10" s="537" t="s">
        <v>394</v>
      </c>
      <c r="E10" s="537"/>
    </row>
    <row r="12" spans="1:9">
      <c r="B12" s="146" t="s">
        <v>393</v>
      </c>
      <c r="C12" s="156" t="s">
        <v>388</v>
      </c>
      <c r="D12" s="156" t="s">
        <v>389</v>
      </c>
      <c r="E12" s="156" t="s">
        <v>390</v>
      </c>
      <c r="F12" s="156" t="s">
        <v>391</v>
      </c>
      <c r="G12" s="157" t="s">
        <v>392</v>
      </c>
    </row>
    <row r="13" spans="1:9">
      <c r="B13" s="172">
        <v>2023</v>
      </c>
      <c r="C13" s="170">
        <v>211000000</v>
      </c>
      <c r="D13" s="170">
        <v>320500000</v>
      </c>
      <c r="E13" s="170">
        <v>66000000</v>
      </c>
      <c r="F13" s="170">
        <v>49500000</v>
      </c>
      <c r="G13" s="171">
        <v>83000000</v>
      </c>
    </row>
    <row r="14" spans="1:9">
      <c r="C14" s="101"/>
      <c r="D14" s="101"/>
      <c r="E14" s="101"/>
      <c r="F14" s="101"/>
      <c r="G14" s="101"/>
      <c r="H14" s="169"/>
    </row>
    <row r="15" spans="1:9">
      <c r="G15" s="169"/>
      <c r="H15" s="169"/>
    </row>
    <row r="20" ht="13.5" customHeight="1"/>
    <row r="37" spans="1:9" ht="26.25">
      <c r="I37" s="411" t="s">
        <v>399</v>
      </c>
    </row>
    <row r="38" spans="1:9" ht="18">
      <c r="B38" s="74"/>
    </row>
    <row r="40" spans="1:9" ht="15.75">
      <c r="A40" s="149" t="s">
        <v>328</v>
      </c>
      <c r="B40" s="538" t="s">
        <v>398</v>
      </c>
      <c r="C40" s="538"/>
      <c r="D40" s="538"/>
      <c r="E40" s="538"/>
    </row>
    <row r="42" spans="1:9">
      <c r="B42" s="146" t="s">
        <v>195</v>
      </c>
      <c r="C42" s="157" t="s">
        <v>396</v>
      </c>
    </row>
    <row r="43" spans="1:9">
      <c r="B43" s="32" t="s">
        <v>317</v>
      </c>
      <c r="C43" s="174">
        <v>2500000</v>
      </c>
      <c r="D43" s="101"/>
    </row>
    <row r="44" spans="1:9">
      <c r="B44" s="32" t="s">
        <v>318</v>
      </c>
      <c r="C44" s="174">
        <v>-1500000</v>
      </c>
      <c r="D44" s="101"/>
    </row>
    <row r="45" spans="1:9">
      <c r="B45" s="32" t="s">
        <v>319</v>
      </c>
      <c r="C45" s="174">
        <v>2000000</v>
      </c>
      <c r="D45" s="101"/>
    </row>
    <row r="46" spans="1:9">
      <c r="B46" s="32" t="s">
        <v>320</v>
      </c>
      <c r="C46" s="175">
        <v>-1000000</v>
      </c>
      <c r="D46" s="101"/>
      <c r="F46" s="4"/>
      <c r="G46" s="4"/>
    </row>
    <row r="47" spans="1:9">
      <c r="B47" s="32" t="s">
        <v>185</v>
      </c>
      <c r="C47" s="176">
        <v>3000000</v>
      </c>
      <c r="D47" s="101"/>
      <c r="F47" s="169"/>
      <c r="G47" s="169"/>
    </row>
    <row r="48" spans="1:9">
      <c r="B48" s="32" t="s">
        <v>321</v>
      </c>
      <c r="C48" s="176">
        <v>-2500000</v>
      </c>
      <c r="D48" s="101"/>
      <c r="F48" s="169"/>
      <c r="G48" s="169"/>
    </row>
    <row r="49" spans="2:7">
      <c r="B49" s="32" t="s">
        <v>322</v>
      </c>
      <c r="C49" s="176">
        <v>1800000</v>
      </c>
      <c r="D49" s="101"/>
      <c r="F49" s="169"/>
      <c r="G49" s="169"/>
    </row>
    <row r="50" spans="2:7">
      <c r="B50" s="32" t="s">
        <v>323</v>
      </c>
      <c r="C50" s="176">
        <v>-1200000</v>
      </c>
      <c r="D50" s="101"/>
      <c r="F50" s="169"/>
      <c r="G50" s="169"/>
    </row>
    <row r="51" spans="2:7">
      <c r="B51" s="32" t="s">
        <v>324</v>
      </c>
      <c r="C51" s="176">
        <v>2200000</v>
      </c>
      <c r="D51" s="101"/>
      <c r="F51" s="169"/>
      <c r="G51" s="169"/>
    </row>
    <row r="52" spans="2:7">
      <c r="B52" s="32" t="s">
        <v>325</v>
      </c>
      <c r="C52" s="176">
        <v>-2000000</v>
      </c>
      <c r="D52" s="101"/>
      <c r="F52" s="169"/>
      <c r="G52" s="169"/>
    </row>
    <row r="53" spans="2:7">
      <c r="B53" s="32" t="s">
        <v>326</v>
      </c>
      <c r="C53" s="176">
        <v>2800000</v>
      </c>
      <c r="D53" s="101"/>
      <c r="F53" s="169"/>
      <c r="G53" s="169"/>
    </row>
    <row r="54" spans="2:7">
      <c r="B54" s="34" t="s">
        <v>327</v>
      </c>
      <c r="C54" s="171">
        <v>-3000000</v>
      </c>
      <c r="D54" s="101"/>
      <c r="F54" s="169"/>
      <c r="G54" s="169"/>
    </row>
    <row r="55" spans="2:7">
      <c r="D55" s="169"/>
      <c r="E55" s="169"/>
      <c r="F55" s="169"/>
      <c r="G55" s="169"/>
    </row>
    <row r="56" spans="2:7">
      <c r="B56" t="s">
        <v>397</v>
      </c>
      <c r="D56" s="169"/>
      <c r="E56" s="169"/>
      <c r="F56" s="169"/>
      <c r="G56" s="169"/>
    </row>
    <row r="57" spans="2:7">
      <c r="B57" s="2"/>
      <c r="C57" s="169"/>
      <c r="D57" s="169"/>
      <c r="E57" s="169"/>
      <c r="F57" s="169"/>
      <c r="G57" s="169"/>
    </row>
    <row r="58" spans="2:7">
      <c r="B58" s="2"/>
      <c r="C58" s="169"/>
      <c r="D58" s="169"/>
      <c r="E58" s="169"/>
      <c r="F58" s="169"/>
      <c r="G58" s="169"/>
    </row>
    <row r="59" spans="2:7">
      <c r="B59" s="53"/>
      <c r="C59" s="173"/>
      <c r="D59" s="173"/>
      <c r="E59" s="173"/>
      <c r="F59" s="173"/>
      <c r="G59" s="173"/>
    </row>
  </sheetData>
  <mergeCells count="5">
    <mergeCell ref="D10:E10"/>
    <mergeCell ref="B8:G8"/>
    <mergeCell ref="B40:E40"/>
    <mergeCell ref="B2:G2"/>
    <mergeCell ref="B4:G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7D5A-2FE5-4D15-871D-563B57AFB3A2}">
  <sheetPr codeName="Sheet9"/>
  <dimension ref="A1:L300"/>
  <sheetViews>
    <sheetView zoomScale="115" zoomScaleNormal="130" workbookViewId="0">
      <selection activeCell="F318" sqref="F318"/>
    </sheetView>
  </sheetViews>
  <sheetFormatPr defaultRowHeight="15"/>
  <cols>
    <col min="2" max="2" width="20" bestFit="1" customWidth="1"/>
    <col min="3" max="3" width="25" bestFit="1" customWidth="1"/>
    <col min="4" max="4" width="24" bestFit="1" customWidth="1"/>
    <col min="5" max="5" width="19.85546875" bestFit="1" customWidth="1"/>
    <col min="6" max="6" width="24.28515625" bestFit="1" customWidth="1"/>
    <col min="7" max="7" width="18.42578125" bestFit="1" customWidth="1"/>
    <col min="8" max="8" width="19.85546875" bestFit="1" customWidth="1"/>
    <col min="9" max="9" width="26.5703125" bestFit="1" customWidth="1"/>
    <col min="10" max="10" width="28.85546875" bestFit="1" customWidth="1"/>
    <col min="11" max="11" width="25.7109375" customWidth="1"/>
    <col min="12" max="12" width="96.7109375" style="1" customWidth="1"/>
  </cols>
  <sheetData>
    <row r="1" spans="2:12" ht="15.75" thickBot="1">
      <c r="L1" s="6"/>
    </row>
    <row r="2" spans="2:12" ht="29.25" thickBot="1">
      <c r="C2" s="484" t="s">
        <v>221</v>
      </c>
      <c r="D2" s="485"/>
      <c r="E2" s="485"/>
      <c r="F2" s="485"/>
      <c r="G2" s="485"/>
      <c r="H2" s="486"/>
      <c r="L2" s="6"/>
    </row>
    <row r="3" spans="2:12">
      <c r="L3" s="6"/>
    </row>
    <row r="4" spans="2:12" ht="28.5">
      <c r="C4" s="487" t="s">
        <v>921</v>
      </c>
      <c r="D4" s="488"/>
      <c r="E4" s="488"/>
      <c r="F4" s="488"/>
      <c r="G4" s="488"/>
      <c r="H4" s="490"/>
      <c r="L4" s="305" t="s">
        <v>28</v>
      </c>
    </row>
    <row r="6" spans="2:12">
      <c r="L6" s="1" t="s">
        <v>267</v>
      </c>
    </row>
    <row r="7" spans="2:12">
      <c r="C7" s="547" t="s">
        <v>529</v>
      </c>
      <c r="D7" s="548"/>
      <c r="L7" s="1" t="s">
        <v>268</v>
      </c>
    </row>
    <row r="8" spans="2:12">
      <c r="B8" s="6"/>
      <c r="C8" s="543" t="s">
        <v>265</v>
      </c>
      <c r="D8" s="544"/>
      <c r="L8" s="1" t="s">
        <v>276</v>
      </c>
    </row>
    <row r="9" spans="2:12">
      <c r="B9" s="6"/>
      <c r="C9" s="245" t="s">
        <v>270</v>
      </c>
      <c r="D9" s="246" t="s">
        <v>530</v>
      </c>
      <c r="L9" s="1" t="s">
        <v>269</v>
      </c>
    </row>
    <row r="10" spans="2:12">
      <c r="B10" s="6"/>
      <c r="C10" s="105" t="s">
        <v>245</v>
      </c>
      <c r="D10" s="24" t="str">
        <f>LEFT(C8,9)</f>
        <v>Alexander</v>
      </c>
      <c r="L10" s="1" t="s">
        <v>274</v>
      </c>
    </row>
    <row r="11" spans="2:12">
      <c r="B11" s="6"/>
      <c r="C11" s="105" t="s">
        <v>246</v>
      </c>
      <c r="D11" s="24" t="str">
        <f>RIGHT(C8,3)</f>
        <v>ith</v>
      </c>
      <c r="L11" s="1" t="s">
        <v>296</v>
      </c>
    </row>
    <row r="12" spans="2:12">
      <c r="B12" s="6"/>
      <c r="C12" s="105" t="s">
        <v>247</v>
      </c>
      <c r="D12" s="24" t="str">
        <f>MID(C8,11,1)</f>
        <v>J</v>
      </c>
      <c r="L12" s="1" t="s">
        <v>295</v>
      </c>
    </row>
    <row r="13" spans="2:12">
      <c r="B13" s="6"/>
      <c r="C13" s="105" t="s">
        <v>248</v>
      </c>
      <c r="D13" s="24">
        <f>FIND(" ",C8)</f>
        <v>10</v>
      </c>
      <c r="L13" s="1" t="s">
        <v>531</v>
      </c>
    </row>
    <row r="14" spans="2:12">
      <c r="B14" s="6"/>
      <c r="C14" s="105" t="s">
        <v>249</v>
      </c>
      <c r="D14" s="24">
        <f>SEARCH("j",C8)</f>
        <v>11</v>
      </c>
      <c r="L14" s="1" t="s">
        <v>532</v>
      </c>
    </row>
    <row r="15" spans="2:12">
      <c r="B15" s="6"/>
      <c r="C15" s="105" t="s">
        <v>251</v>
      </c>
      <c r="D15" s="107">
        <f ca="1">TODAY()</f>
        <v>45722</v>
      </c>
      <c r="L15" s="131" t="s">
        <v>534</v>
      </c>
    </row>
    <row r="16" spans="2:12">
      <c r="B16" s="6"/>
      <c r="C16" s="105" t="s">
        <v>252</v>
      </c>
      <c r="D16" s="108">
        <f ca="1">NOW()</f>
        <v>45722.797022685183</v>
      </c>
      <c r="L16" s="131" t="s">
        <v>535</v>
      </c>
    </row>
    <row r="17" spans="2:12">
      <c r="B17" s="6"/>
      <c r="C17" s="105" t="s">
        <v>254</v>
      </c>
      <c r="D17" s="24" t="str">
        <f>CONCATENATE(C8,D13)</f>
        <v>Alexander James Smith10</v>
      </c>
      <c r="L17" s="131" t="s">
        <v>912</v>
      </c>
    </row>
    <row r="18" spans="2:12">
      <c r="B18" s="6"/>
      <c r="C18" s="105" t="s">
        <v>255</v>
      </c>
      <c r="D18" s="24" t="str">
        <f ca="1">_xlfn.FORMULATEXT(D10)</f>
        <v>=LEFT(C8,9)</v>
      </c>
      <c r="L18" s="131" t="s">
        <v>913</v>
      </c>
    </row>
    <row r="19" spans="2:12">
      <c r="B19" s="6"/>
      <c r="C19" s="105" t="s">
        <v>256</v>
      </c>
      <c r="D19" s="24" t="str">
        <f>UPPER(C8)</f>
        <v>ALEXANDER JAMES SMITH</v>
      </c>
      <c r="L19" s="131"/>
    </row>
    <row r="20" spans="2:12">
      <c r="B20" s="6"/>
      <c r="C20" s="105" t="s">
        <v>257</v>
      </c>
      <c r="D20" s="24" t="str">
        <f>LOWER(C8)</f>
        <v>alexander james smith</v>
      </c>
      <c r="L20" s="131"/>
    </row>
    <row r="21" spans="2:12">
      <c r="B21" s="6"/>
      <c r="C21" s="105" t="s">
        <v>258</v>
      </c>
      <c r="D21" s="24" t="str">
        <f>PROPER(C8)</f>
        <v>Alexander James Smith</v>
      </c>
      <c r="L21" s="131"/>
    </row>
    <row r="22" spans="2:12">
      <c r="B22" s="6"/>
      <c r="C22" s="105" t="s">
        <v>259</v>
      </c>
      <c r="D22" s="24">
        <f>LEN(C8)</f>
        <v>21</v>
      </c>
      <c r="L22" s="131"/>
    </row>
    <row r="23" spans="2:12">
      <c r="B23" s="6"/>
      <c r="C23" s="105" t="s">
        <v>260</v>
      </c>
      <c r="D23" s="24" t="str">
        <f>REPT(D22,5)</f>
        <v>2121212121</v>
      </c>
      <c r="L23" s="131"/>
    </row>
    <row r="24" spans="2:12">
      <c r="B24" s="6"/>
      <c r="C24" s="105" t="s">
        <v>253</v>
      </c>
      <c r="D24" s="24" t="str">
        <f>SUBSTITUTE(C8,"Alexander","frankrut")</f>
        <v>frankrut James Smith</v>
      </c>
      <c r="L24" s="131"/>
    </row>
    <row r="25" spans="2:12">
      <c r="B25" s="6"/>
      <c r="C25" s="105" t="s">
        <v>250</v>
      </c>
      <c r="D25" s="24" t="str">
        <f>REPLACE(C8,1,3,"Robo")</f>
        <v>Roboxander James Smith</v>
      </c>
      <c r="L25" s="131"/>
    </row>
    <row r="26" spans="2:12">
      <c r="B26" s="6"/>
      <c r="C26" s="105" t="s">
        <v>282</v>
      </c>
      <c r="D26" s="24" t="b">
        <f>IFERROR(D13&lt;2,)</f>
        <v>0</v>
      </c>
      <c r="L26" s="131"/>
    </row>
    <row r="27" spans="2:12">
      <c r="B27" s="6"/>
      <c r="C27" s="105" t="s">
        <v>403</v>
      </c>
      <c r="D27" s="24" t="str">
        <f>DOLLAR(49,2)</f>
        <v>₹ 49.00</v>
      </c>
      <c r="L27" s="131"/>
    </row>
    <row r="28" spans="2:12">
      <c r="B28" s="6"/>
      <c r="C28" s="105" t="s">
        <v>404</v>
      </c>
      <c r="D28" s="24" t="str">
        <f>FIXED(34455,1,FALSE)</f>
        <v>34,455.0</v>
      </c>
      <c r="L28" s="131"/>
    </row>
    <row r="29" spans="2:12">
      <c r="B29" s="6"/>
      <c r="C29" s="105" t="s">
        <v>405</v>
      </c>
      <c r="D29" s="24">
        <f>_xlfn.NUMBERVALUE(D27)</f>
        <v>49</v>
      </c>
      <c r="L29" s="247"/>
    </row>
    <row r="30" spans="2:12">
      <c r="B30" s="6"/>
      <c r="C30" s="105" t="s">
        <v>406</v>
      </c>
      <c r="D30" s="24" t="str">
        <f ca="1">TEXT(D15,"dd mm yyyy")</f>
        <v>06 03 2025</v>
      </c>
      <c r="L30" s="131"/>
    </row>
    <row r="31" spans="2:12">
      <c r="B31" s="6"/>
      <c r="C31" s="105" t="s">
        <v>407</v>
      </c>
      <c r="D31" s="24" t="str">
        <f>T(D27)</f>
        <v>₹ 49.00</v>
      </c>
      <c r="L31" s="131"/>
    </row>
    <row r="32" spans="2:12">
      <c r="B32" s="6"/>
      <c r="C32" s="105" t="s">
        <v>409</v>
      </c>
      <c r="D32" s="24" t="str">
        <f>BAHTTEXT(345)</f>
        <v>สามร้อยสี่สิบห้าบาทถ้วน</v>
      </c>
      <c r="L32" s="131"/>
    </row>
    <row r="33" spans="1:12">
      <c r="A33" t="s">
        <v>533</v>
      </c>
      <c r="B33" s="6"/>
      <c r="C33" s="105" t="s">
        <v>410</v>
      </c>
      <c r="D33" s="24">
        <f>CODE(D28)</f>
        <v>51</v>
      </c>
      <c r="L33" s="131"/>
    </row>
    <row r="34" spans="1:12">
      <c r="B34" s="6"/>
      <c r="C34" s="105" t="s">
        <v>408</v>
      </c>
      <c r="D34" s="24">
        <f>VALUE(D31)</f>
        <v>49</v>
      </c>
      <c r="L34" s="131"/>
    </row>
    <row r="35" spans="1:12">
      <c r="C35" s="105" t="s">
        <v>411</v>
      </c>
      <c r="D35" s="14" t="str">
        <f>CHAR(D34)</f>
        <v>1</v>
      </c>
      <c r="L35" s="131"/>
    </row>
    <row r="36" spans="1:12">
      <c r="C36" s="106" t="s">
        <v>412</v>
      </c>
      <c r="D36" s="17" t="b">
        <f>EXACT(E34,D11)</f>
        <v>0</v>
      </c>
      <c r="L36" s="131"/>
    </row>
    <row r="37" spans="1:12">
      <c r="D37" s="6"/>
      <c r="L37" s="131"/>
    </row>
    <row r="38" spans="1:12">
      <c r="D38" s="6"/>
      <c r="L38" s="131"/>
    </row>
    <row r="39" spans="1:12">
      <c r="C39" s="545" t="s">
        <v>271</v>
      </c>
      <c r="D39" s="546"/>
      <c r="L39" s="131"/>
    </row>
    <row r="40" spans="1:12">
      <c r="C40" s="112" t="s">
        <v>272</v>
      </c>
      <c r="D40" s="113" t="s">
        <v>527</v>
      </c>
      <c r="L40" s="131"/>
    </row>
    <row r="41" spans="1:12">
      <c r="C41" s="112" t="s">
        <v>297</v>
      </c>
      <c r="D41" s="113">
        <f>LEN(D40)</f>
        <v>13</v>
      </c>
      <c r="L41" s="131"/>
    </row>
    <row r="42" spans="1:12">
      <c r="C42" s="112" t="s">
        <v>275</v>
      </c>
      <c r="D42" s="113" t="str">
        <f>TRIM(D40)</f>
        <v>Rahul</v>
      </c>
      <c r="L42" s="131"/>
    </row>
    <row r="43" spans="1:12">
      <c r="C43" s="114" t="s">
        <v>297</v>
      </c>
      <c r="D43" s="115">
        <f>LEN(D42)</f>
        <v>5</v>
      </c>
      <c r="L43" s="131"/>
    </row>
    <row r="44" spans="1:12">
      <c r="D44" s="6"/>
      <c r="L44" s="131"/>
    </row>
    <row r="45" spans="1:12" ht="15.75" thickBot="1">
      <c r="D45" s="6"/>
      <c r="L45" s="131"/>
    </row>
    <row r="46" spans="1:12" ht="15.75" thickBot="1">
      <c r="D46" s="6"/>
      <c r="E46" s="541" t="s">
        <v>293</v>
      </c>
      <c r="F46" s="542"/>
      <c r="L46" s="131"/>
    </row>
    <row r="47" spans="1:12">
      <c r="D47" s="6"/>
      <c r="L47" s="131"/>
    </row>
    <row r="48" spans="1:12" ht="15.75" thickBot="1">
      <c r="L48" s="131"/>
    </row>
    <row r="49" spans="2:12">
      <c r="B49" s="440" t="s">
        <v>272</v>
      </c>
      <c r="C49" s="441" t="s">
        <v>277</v>
      </c>
      <c r="D49" s="441" t="s">
        <v>278</v>
      </c>
      <c r="E49" s="441" t="s">
        <v>273</v>
      </c>
      <c r="F49" s="441" t="s">
        <v>279</v>
      </c>
      <c r="G49" s="441" t="s">
        <v>280</v>
      </c>
      <c r="H49" s="441" t="s">
        <v>281</v>
      </c>
      <c r="I49" s="442" t="s">
        <v>75</v>
      </c>
      <c r="L49" s="131"/>
    </row>
    <row r="50" spans="2:12">
      <c r="B50" s="116"/>
      <c r="C50" s="6"/>
      <c r="D50" s="6"/>
      <c r="E50" s="6"/>
      <c r="F50" s="6"/>
      <c r="G50" s="6"/>
      <c r="H50" s="6"/>
      <c r="I50" s="117"/>
    </row>
    <row r="51" spans="2:12">
      <c r="B51" s="122" t="s">
        <v>294</v>
      </c>
      <c r="C51" s="123" t="str">
        <f t="shared" ref="C51:I51" ca="1" si="0">_xlfn.FORMULATEXT(C53)</f>
        <v>=FIND(" ",B53)</v>
      </c>
      <c r="D51" s="123" t="str">
        <f t="shared" ca="1" si="0"/>
        <v>=FIND(" ",B53,C53+1)</v>
      </c>
      <c r="E51" s="123" t="str">
        <f t="shared" ca="1" si="0"/>
        <v>=LEN(B53)</v>
      </c>
      <c r="F51" s="123" t="str">
        <f t="shared" ca="1" si="0"/>
        <v>=D53-C53</v>
      </c>
      <c r="G51" s="123" t="str">
        <f t="shared" ca="1" si="0"/>
        <v>=LEFT(B53,C53-1)</v>
      </c>
      <c r="H51" s="123" t="str">
        <f t="shared" ca="1" si="0"/>
        <v>=MID(B53,C53+1,F53)</v>
      </c>
      <c r="I51" s="124" t="str">
        <f t="shared" ca="1" si="0"/>
        <v>=MID(B53,D53+1,E53)</v>
      </c>
    </row>
    <row r="52" spans="2:12">
      <c r="B52" s="116"/>
      <c r="C52" s="6"/>
      <c r="D52" s="6"/>
      <c r="E52" s="6"/>
      <c r="F52" s="6"/>
      <c r="G52" s="6"/>
      <c r="H52" s="6"/>
      <c r="I52" s="117"/>
    </row>
    <row r="53" spans="2:12">
      <c r="B53" s="121" t="s">
        <v>283</v>
      </c>
      <c r="C53" s="6">
        <f t="shared" ref="C53:C62" si="1">FIND(" ",B53)</f>
        <v>5</v>
      </c>
      <c r="D53" s="6">
        <f>FIND(" ",B53,C53+1)</f>
        <v>11</v>
      </c>
      <c r="E53" s="6">
        <f>LEN(B53)</f>
        <v>18</v>
      </c>
      <c r="F53" s="6">
        <f>D53-C53</f>
        <v>6</v>
      </c>
      <c r="G53" s="6" t="str">
        <f t="shared" ref="G53:G62" si="2">LEFT(B53,C53-1)</f>
        <v>Emma</v>
      </c>
      <c r="H53" s="6" t="str">
        <f t="shared" ref="H53:H62" si="3">MID(B53,C53+1,F53)</f>
        <v xml:space="preserve">Grace </v>
      </c>
      <c r="I53" s="117" t="str">
        <f>MID(B53,D53+1,E53)</f>
        <v>Johnson</v>
      </c>
      <c r="L53" s="131"/>
    </row>
    <row r="54" spans="2:12">
      <c r="B54" s="121" t="s">
        <v>284</v>
      </c>
      <c r="C54" s="6">
        <f t="shared" si="1"/>
        <v>5</v>
      </c>
      <c r="D54" s="6">
        <f>FIND(" ",B54,C54+1)</f>
        <v>13</v>
      </c>
      <c r="E54" s="6">
        <f t="shared" ref="E54:E62" si="4">LEN(B54)</f>
        <v>18</v>
      </c>
      <c r="F54" s="6">
        <f>D54-C54</f>
        <v>8</v>
      </c>
      <c r="G54" s="6" t="str">
        <f t="shared" si="2"/>
        <v>Liam</v>
      </c>
      <c r="H54" s="6" t="str">
        <f t="shared" si="3"/>
        <v xml:space="preserve">Michael </v>
      </c>
      <c r="I54" s="117" t="str">
        <f>MID(B54,D54+1,E54)</f>
        <v>Brown</v>
      </c>
      <c r="L54" s="131"/>
    </row>
    <row r="55" spans="2:12">
      <c r="B55" s="121" t="s">
        <v>285</v>
      </c>
      <c r="C55" s="6">
        <f t="shared" si="1"/>
        <v>7</v>
      </c>
      <c r="D55" s="6"/>
      <c r="E55" s="6">
        <f t="shared" si="4"/>
        <v>12</v>
      </c>
      <c r="F55" s="6"/>
      <c r="G55" s="6" t="str">
        <f t="shared" si="2"/>
        <v>Olivia</v>
      </c>
      <c r="H55" s="6" t="str">
        <f t="shared" si="3"/>
        <v/>
      </c>
      <c r="I55" s="117" t="str">
        <f>MID(B55,C55+1,E55)</f>
        <v>Smith</v>
      </c>
      <c r="L55" s="131"/>
    </row>
    <row r="56" spans="2:12">
      <c r="B56" s="121" t="s">
        <v>286</v>
      </c>
      <c r="C56" s="6">
        <f t="shared" si="1"/>
        <v>5</v>
      </c>
      <c r="D56" s="6">
        <f>FIND(" ",B56,C56+1)</f>
        <v>11</v>
      </c>
      <c r="E56" s="6">
        <f t="shared" si="4"/>
        <v>19</v>
      </c>
      <c r="F56" s="6">
        <f>D56-C56</f>
        <v>6</v>
      </c>
      <c r="G56" s="6" t="str">
        <f t="shared" si="2"/>
        <v>Noah</v>
      </c>
      <c r="H56" s="6" t="str">
        <f t="shared" si="3"/>
        <v xml:space="preserve">James </v>
      </c>
      <c r="I56" s="117" t="str">
        <f>MID(B56,D56+1,E56)</f>
        <v>Williams</v>
      </c>
      <c r="L56" s="131"/>
    </row>
    <row r="57" spans="2:12">
      <c r="B57" s="121" t="s">
        <v>287</v>
      </c>
      <c r="C57" s="6">
        <f t="shared" si="1"/>
        <v>4</v>
      </c>
      <c r="D57" s="6"/>
      <c r="E57" s="6">
        <f t="shared" si="4"/>
        <v>9</v>
      </c>
      <c r="F57" s="6"/>
      <c r="G57" s="6" t="str">
        <f t="shared" si="2"/>
        <v>Ava</v>
      </c>
      <c r="H57" s="6" t="str">
        <f t="shared" si="3"/>
        <v/>
      </c>
      <c r="I57" s="117" t="str">
        <f>MID(B57,D57+1,E57)</f>
        <v>Ava Davis</v>
      </c>
      <c r="L57" s="180"/>
    </row>
    <row r="58" spans="2:12">
      <c r="B58" s="121" t="s">
        <v>288</v>
      </c>
      <c r="C58" s="6">
        <f t="shared" si="1"/>
        <v>7</v>
      </c>
      <c r="D58" s="6">
        <f>FIND(" ",B58,C58+1)</f>
        <v>13</v>
      </c>
      <c r="E58" s="6">
        <f t="shared" si="4"/>
        <v>21</v>
      </c>
      <c r="F58" s="6">
        <f>D58-C58</f>
        <v>6</v>
      </c>
      <c r="G58" s="6" t="str">
        <f t="shared" si="2"/>
        <v>Sophia</v>
      </c>
      <c r="H58" s="6" t="str">
        <f t="shared" si="3"/>
        <v xml:space="preserve">Marie </v>
      </c>
      <c r="I58" s="117" t="str">
        <f>MID(B58,D58+1,E58)</f>
        <v>Martinez</v>
      </c>
      <c r="L58" s="131"/>
    </row>
    <row r="59" spans="2:12">
      <c r="B59" s="121" t="s">
        <v>289</v>
      </c>
      <c r="C59" s="6">
        <f t="shared" si="1"/>
        <v>7</v>
      </c>
      <c r="D59" s="6">
        <f>FIND(" ",B59,C59+1)</f>
        <v>14</v>
      </c>
      <c r="E59" s="6">
        <f t="shared" si="4"/>
        <v>22</v>
      </c>
      <c r="F59" s="6">
        <f>D59-C59</f>
        <v>7</v>
      </c>
      <c r="G59" s="6" t="str">
        <f t="shared" si="2"/>
        <v>Elijah</v>
      </c>
      <c r="H59" s="6" t="str">
        <f t="shared" si="3"/>
        <v xml:space="preserve">Robert </v>
      </c>
      <c r="I59" s="117" t="str">
        <f>MID(B59,D59+1,E59)</f>
        <v>Anderson</v>
      </c>
      <c r="L59" s="131"/>
    </row>
    <row r="60" spans="2:12">
      <c r="B60" s="121" t="s">
        <v>290</v>
      </c>
      <c r="C60" s="6">
        <f t="shared" si="1"/>
        <v>9</v>
      </c>
      <c r="D60" s="6"/>
      <c r="E60" s="6">
        <f t="shared" si="4"/>
        <v>15</v>
      </c>
      <c r="F60" s="6"/>
      <c r="G60" s="6" t="str">
        <f t="shared" si="2"/>
        <v>Isabella</v>
      </c>
      <c r="H60" s="6" t="str">
        <f t="shared" si="3"/>
        <v/>
      </c>
      <c r="I60" s="117" t="str">
        <f>MID(B60,C60+1,E60)</f>
        <v>Thomas</v>
      </c>
      <c r="L60" s="131"/>
    </row>
    <row r="61" spans="2:12">
      <c r="B61" s="121" t="s">
        <v>291</v>
      </c>
      <c r="C61" s="6">
        <f t="shared" si="1"/>
        <v>6</v>
      </c>
      <c r="D61" s="6">
        <f>FIND(" ",B61,C61+1)</f>
        <v>16</v>
      </c>
      <c r="E61" s="6">
        <f t="shared" si="4"/>
        <v>25</v>
      </c>
      <c r="F61" s="6">
        <f>D61-C61</f>
        <v>10</v>
      </c>
      <c r="G61" s="6" t="str">
        <f t="shared" si="2"/>
        <v>Lucas</v>
      </c>
      <c r="H61" s="6" t="str">
        <f t="shared" si="3"/>
        <v xml:space="preserve">Alexander </v>
      </c>
      <c r="I61" s="117" t="str">
        <f>MID(B61,D61+1,E61)</f>
        <v>Hernandez</v>
      </c>
      <c r="L61" s="131"/>
    </row>
    <row r="62" spans="2:12">
      <c r="B62" s="121" t="s">
        <v>292</v>
      </c>
      <c r="C62" s="6">
        <f t="shared" si="1"/>
        <v>4</v>
      </c>
      <c r="D62" s="6">
        <f>FIND(" ",B62,C62+1)</f>
        <v>14</v>
      </c>
      <c r="E62" s="6">
        <f t="shared" si="4"/>
        <v>19</v>
      </c>
      <c r="F62" s="6">
        <f>D62-C62</f>
        <v>10</v>
      </c>
      <c r="G62" s="6" t="str">
        <f t="shared" si="2"/>
        <v>Mia</v>
      </c>
      <c r="H62" s="6" t="str">
        <f t="shared" si="3"/>
        <v xml:space="preserve">Elizabeth </v>
      </c>
      <c r="I62" s="117" t="str">
        <f>MID(B62,D62+1,E62)</f>
        <v>Moore</v>
      </c>
      <c r="L62" s="131"/>
    </row>
    <row r="63" spans="2:12" ht="15.75" thickBot="1">
      <c r="B63" s="118"/>
      <c r="C63" s="119"/>
      <c r="D63" s="119"/>
      <c r="E63" s="119"/>
      <c r="F63" s="119"/>
      <c r="G63" s="119"/>
      <c r="H63" s="119"/>
      <c r="I63" s="120"/>
      <c r="L63" s="131"/>
    </row>
    <row r="69" spans="2:5" ht="18">
      <c r="B69" s="74" t="s">
        <v>536</v>
      </c>
    </row>
    <row r="71" spans="2:5">
      <c r="B71" t="s">
        <v>537</v>
      </c>
    </row>
    <row r="72" spans="2:5">
      <c r="B72" s="60"/>
    </row>
    <row r="73" spans="2:5">
      <c r="B73" s="552" t="s">
        <v>538</v>
      </c>
      <c r="C73" s="553"/>
      <c r="D73" s="553"/>
      <c r="E73" s="554"/>
    </row>
    <row r="74" spans="2:5">
      <c r="B74" s="539" t="s">
        <v>539</v>
      </c>
      <c r="C74" s="526"/>
      <c r="D74" s="526"/>
      <c r="E74" s="540"/>
    </row>
    <row r="75" spans="2:5">
      <c r="B75" s="539" t="s">
        <v>540</v>
      </c>
      <c r="C75" s="526"/>
      <c r="D75" s="526"/>
      <c r="E75" s="540"/>
    </row>
    <row r="76" spans="2:5">
      <c r="B76" s="539" t="s">
        <v>541</v>
      </c>
      <c r="C76" s="526"/>
      <c r="D76" s="526"/>
      <c r="E76" s="540"/>
    </row>
    <row r="77" spans="2:5">
      <c r="B77" s="539" t="s">
        <v>542</v>
      </c>
      <c r="C77" s="526"/>
      <c r="D77" s="526"/>
      <c r="E77" s="540"/>
    </row>
    <row r="78" spans="2:5">
      <c r="B78" s="549" t="s">
        <v>543</v>
      </c>
      <c r="C78" s="550"/>
      <c r="D78" s="550"/>
      <c r="E78" s="551"/>
    </row>
    <row r="81" spans="2:6" ht="18">
      <c r="B81" s="555" t="s">
        <v>558</v>
      </c>
      <c r="C81" s="555"/>
      <c r="D81" s="555"/>
      <c r="E81" s="555"/>
    </row>
    <row r="83" spans="2:6">
      <c r="B83" t="s">
        <v>559</v>
      </c>
    </row>
    <row r="84" spans="2:6">
      <c r="B84" s="60"/>
    </row>
    <row r="85" spans="2:6">
      <c r="B85" s="552" t="s">
        <v>560</v>
      </c>
      <c r="C85" s="553"/>
      <c r="D85" s="553"/>
      <c r="E85" s="553"/>
      <c r="F85" s="554"/>
    </row>
    <row r="86" spans="2:6">
      <c r="B86" s="539" t="s">
        <v>561</v>
      </c>
      <c r="C86" s="526"/>
      <c r="D86" s="526"/>
      <c r="E86" s="526"/>
      <c r="F86" s="540"/>
    </row>
    <row r="87" spans="2:6">
      <c r="B87" s="539" t="s">
        <v>562</v>
      </c>
      <c r="C87" s="526"/>
      <c r="D87" s="526"/>
      <c r="E87" s="526"/>
      <c r="F87" s="540"/>
    </row>
    <row r="88" spans="2:6">
      <c r="B88" s="539" t="s">
        <v>563</v>
      </c>
      <c r="C88" s="526"/>
      <c r="D88" s="526"/>
      <c r="E88" s="526"/>
      <c r="F88" s="540"/>
    </row>
    <row r="89" spans="2:6">
      <c r="B89" s="539" t="s">
        <v>772</v>
      </c>
      <c r="C89" s="526"/>
      <c r="D89" s="526"/>
      <c r="E89" s="526"/>
      <c r="F89" s="540"/>
    </row>
    <row r="90" spans="2:6">
      <c r="B90" s="539" t="s">
        <v>771</v>
      </c>
      <c r="C90" s="526"/>
      <c r="D90" s="526"/>
      <c r="E90" s="526"/>
      <c r="F90" s="540"/>
    </row>
    <row r="91" spans="2:6">
      <c r="B91" s="539" t="s">
        <v>564</v>
      </c>
      <c r="C91" s="526"/>
      <c r="D91" s="526"/>
      <c r="E91" s="526"/>
      <c r="F91" s="540"/>
    </row>
    <row r="92" spans="2:6">
      <c r="B92" s="539" t="s">
        <v>773</v>
      </c>
      <c r="C92" s="526"/>
      <c r="D92" s="526"/>
      <c r="E92" s="526"/>
      <c r="F92" s="540"/>
    </row>
    <row r="93" spans="2:6">
      <c r="B93" s="539" t="s">
        <v>774</v>
      </c>
      <c r="C93" s="526"/>
      <c r="D93" s="526"/>
      <c r="E93" s="526"/>
      <c r="F93" s="540"/>
    </row>
    <row r="94" spans="2:6" ht="14.25" customHeight="1">
      <c r="B94" s="549"/>
      <c r="C94" s="550"/>
      <c r="D94" s="550"/>
      <c r="E94" s="550"/>
      <c r="F94" s="551"/>
    </row>
    <row r="95" spans="2:6">
      <c r="B95" s="60"/>
    </row>
    <row r="96" spans="2:6">
      <c r="B96" s="60"/>
    </row>
    <row r="97" spans="2:10">
      <c r="B97" s="263" t="s">
        <v>544</v>
      </c>
      <c r="C97" s="264" t="s">
        <v>545</v>
      </c>
      <c r="D97" s="264" t="s">
        <v>546</v>
      </c>
      <c r="E97" s="264" t="s">
        <v>547</v>
      </c>
      <c r="F97" s="264" t="s">
        <v>548</v>
      </c>
      <c r="G97" s="265" t="s">
        <v>549</v>
      </c>
      <c r="I97" s="162"/>
      <c r="J97" s="256"/>
    </row>
    <row r="98" spans="2:10">
      <c r="B98" s="248" t="s">
        <v>550</v>
      </c>
      <c r="C98" s="162" t="s">
        <v>565</v>
      </c>
      <c r="D98" s="249">
        <v>31182</v>
      </c>
      <c r="E98" s="250">
        <v>30000</v>
      </c>
      <c r="F98" s="249">
        <v>40330</v>
      </c>
      <c r="G98" s="251" t="s">
        <v>551</v>
      </c>
    </row>
    <row r="99" spans="2:10">
      <c r="B99" s="248" t="s">
        <v>552</v>
      </c>
      <c r="C99" s="162" t="s">
        <v>566</v>
      </c>
      <c r="D99" s="249">
        <v>33110</v>
      </c>
      <c r="E99" s="250">
        <v>45000.5</v>
      </c>
      <c r="F99" s="249">
        <v>42200</v>
      </c>
      <c r="G99" s="251" t="s">
        <v>553</v>
      </c>
    </row>
    <row r="100" spans="2:10">
      <c r="B100" s="248" t="s">
        <v>554</v>
      </c>
      <c r="C100" s="162" t="s">
        <v>567</v>
      </c>
      <c r="D100" s="249">
        <v>30260</v>
      </c>
      <c r="E100" s="250">
        <v>50000.75</v>
      </c>
      <c r="F100" s="249">
        <v>39527</v>
      </c>
      <c r="G100" s="251" t="s">
        <v>555</v>
      </c>
    </row>
    <row r="101" spans="2:10">
      <c r="B101" s="248" t="s">
        <v>568</v>
      </c>
      <c r="C101" s="162" t="s">
        <v>569</v>
      </c>
      <c r="D101" s="249">
        <v>32621</v>
      </c>
      <c r="E101" s="250">
        <v>38000.25</v>
      </c>
      <c r="F101" s="249">
        <v>41218</v>
      </c>
      <c r="G101" s="251" t="s">
        <v>570</v>
      </c>
    </row>
    <row r="102" spans="2:10">
      <c r="B102" s="248" t="s">
        <v>571</v>
      </c>
      <c r="C102" s="162" t="s">
        <v>572</v>
      </c>
      <c r="D102" s="249">
        <v>27594</v>
      </c>
      <c r="E102" s="250">
        <v>55000</v>
      </c>
      <c r="F102" s="249">
        <v>38367</v>
      </c>
      <c r="G102" s="251" t="s">
        <v>573</v>
      </c>
    </row>
    <row r="103" spans="2:10">
      <c r="B103" s="248" t="s">
        <v>574</v>
      </c>
      <c r="C103" s="162" t="s">
        <v>575</v>
      </c>
      <c r="D103" s="249">
        <v>34150</v>
      </c>
      <c r="E103" s="250">
        <v>40000.300000000003</v>
      </c>
      <c r="F103" s="249">
        <v>41871</v>
      </c>
      <c r="G103" s="251" t="s">
        <v>576</v>
      </c>
    </row>
    <row r="104" spans="2:10">
      <c r="B104" s="248" t="s">
        <v>577</v>
      </c>
      <c r="C104" s="162" t="s">
        <v>578</v>
      </c>
      <c r="D104" s="249">
        <v>32216</v>
      </c>
      <c r="E104" s="250">
        <v>47000.45</v>
      </c>
      <c r="F104" s="249">
        <v>40688</v>
      </c>
      <c r="G104" s="251" t="s">
        <v>579</v>
      </c>
    </row>
    <row r="105" spans="2:10">
      <c r="B105" s="248" t="s">
        <v>580</v>
      </c>
      <c r="C105" s="162" t="s">
        <v>581</v>
      </c>
      <c r="D105" s="249">
        <v>29190</v>
      </c>
      <c r="E105" s="250">
        <v>42000.6</v>
      </c>
      <c r="F105" s="249">
        <v>38990</v>
      </c>
      <c r="G105" s="251" t="s">
        <v>582</v>
      </c>
    </row>
    <row r="106" spans="2:10">
      <c r="B106" s="248" t="s">
        <v>583</v>
      </c>
      <c r="C106" s="162" t="s">
        <v>584</v>
      </c>
      <c r="D106" s="249">
        <v>29877</v>
      </c>
      <c r="E106" s="250">
        <v>50000.75</v>
      </c>
      <c r="F106" s="249">
        <v>39882</v>
      </c>
      <c r="G106" s="251" t="s">
        <v>585</v>
      </c>
    </row>
    <row r="107" spans="2:10">
      <c r="B107" s="248" t="s">
        <v>586</v>
      </c>
      <c r="C107" s="162" t="s">
        <v>587</v>
      </c>
      <c r="D107" s="249">
        <v>34707</v>
      </c>
      <c r="E107" s="250">
        <v>32000.799999999999</v>
      </c>
      <c r="F107" s="249">
        <v>42786</v>
      </c>
      <c r="G107" s="251" t="s">
        <v>557</v>
      </c>
    </row>
    <row r="108" spans="2:10">
      <c r="B108" s="248" t="s">
        <v>588</v>
      </c>
      <c r="C108" s="162" t="s">
        <v>589</v>
      </c>
      <c r="D108" s="249">
        <v>31651</v>
      </c>
      <c r="E108" s="250">
        <v>45000</v>
      </c>
      <c r="F108" s="249">
        <v>40882</v>
      </c>
      <c r="G108" s="251" t="s">
        <v>551</v>
      </c>
    </row>
    <row r="109" spans="2:10">
      <c r="B109" s="248" t="s">
        <v>590</v>
      </c>
      <c r="C109" s="162" t="s">
        <v>591</v>
      </c>
      <c r="D109" s="249">
        <v>31008</v>
      </c>
      <c r="E109" s="250">
        <v>47000.1</v>
      </c>
      <c r="F109" s="249">
        <v>40344</v>
      </c>
      <c r="G109" s="251" t="s">
        <v>553</v>
      </c>
    </row>
    <row r="110" spans="2:10">
      <c r="B110" s="248" t="s">
        <v>592</v>
      </c>
      <c r="C110" s="162" t="s">
        <v>593</v>
      </c>
      <c r="D110" s="249">
        <v>28622</v>
      </c>
      <c r="E110" s="250">
        <v>48000.25</v>
      </c>
      <c r="F110" s="249">
        <v>39268</v>
      </c>
      <c r="G110" s="251" t="s">
        <v>555</v>
      </c>
    </row>
    <row r="111" spans="2:10">
      <c r="B111" s="248" t="s">
        <v>594</v>
      </c>
      <c r="C111" s="162" t="s">
        <v>595</v>
      </c>
      <c r="D111" s="249">
        <v>33664</v>
      </c>
      <c r="E111" s="250">
        <v>42000.35</v>
      </c>
      <c r="F111" s="249">
        <v>41535</v>
      </c>
      <c r="G111" s="251" t="s">
        <v>570</v>
      </c>
    </row>
    <row r="112" spans="2:10">
      <c r="B112" s="248" t="s">
        <v>596</v>
      </c>
      <c r="C112" s="162" t="s">
        <v>597</v>
      </c>
      <c r="D112" s="249">
        <v>31972</v>
      </c>
      <c r="E112" s="250">
        <v>50000.5</v>
      </c>
      <c r="F112" s="249">
        <v>41233</v>
      </c>
      <c r="G112" s="251" t="s">
        <v>573</v>
      </c>
    </row>
    <row r="113" spans="2:7">
      <c r="B113" s="248" t="s">
        <v>598</v>
      </c>
      <c r="C113" s="162" t="s">
        <v>599</v>
      </c>
      <c r="D113" s="249">
        <v>31162</v>
      </c>
      <c r="E113" s="250">
        <v>39000.75</v>
      </c>
      <c r="F113" s="249">
        <v>40321</v>
      </c>
      <c r="G113" s="251" t="s">
        <v>576</v>
      </c>
    </row>
    <row r="114" spans="2:7">
      <c r="B114" s="248" t="s">
        <v>600</v>
      </c>
      <c r="C114" s="162" t="s">
        <v>601</v>
      </c>
      <c r="D114" s="249">
        <v>32811</v>
      </c>
      <c r="E114" s="250">
        <v>51000.800000000003</v>
      </c>
      <c r="F114" s="249">
        <v>40658</v>
      </c>
      <c r="G114" s="251" t="s">
        <v>579</v>
      </c>
    </row>
    <row r="115" spans="2:7">
      <c r="B115" s="248" t="s">
        <v>602</v>
      </c>
      <c r="C115" s="162" t="s">
        <v>603</v>
      </c>
      <c r="D115" s="249">
        <v>28385</v>
      </c>
      <c r="E115" s="250">
        <v>39500</v>
      </c>
      <c r="F115" s="249">
        <v>38942</v>
      </c>
      <c r="G115" s="251" t="s">
        <v>582</v>
      </c>
    </row>
    <row r="116" spans="2:7">
      <c r="B116" s="248" t="s">
        <v>604</v>
      </c>
      <c r="C116" s="162" t="s">
        <v>605</v>
      </c>
      <c r="D116" s="249">
        <v>29546</v>
      </c>
      <c r="E116" s="250">
        <v>55200.5</v>
      </c>
      <c r="F116" s="249">
        <v>39740</v>
      </c>
      <c r="G116" s="251" t="s">
        <v>585</v>
      </c>
    </row>
    <row r="117" spans="2:7">
      <c r="B117" s="248" t="s">
        <v>606</v>
      </c>
      <c r="C117" s="162" t="s">
        <v>607</v>
      </c>
      <c r="D117" s="249">
        <v>33284</v>
      </c>
      <c r="E117" s="250">
        <v>37800.25</v>
      </c>
      <c r="F117" s="249">
        <v>41713</v>
      </c>
      <c r="G117" s="251" t="s">
        <v>557</v>
      </c>
    </row>
    <row r="118" spans="2:7">
      <c r="B118" s="248" t="s">
        <v>608</v>
      </c>
      <c r="C118" s="162" t="s">
        <v>609</v>
      </c>
      <c r="D118" s="249">
        <v>30842</v>
      </c>
      <c r="E118" s="250">
        <v>46500.75</v>
      </c>
      <c r="F118" s="249">
        <v>39951</v>
      </c>
      <c r="G118" s="251" t="s">
        <v>551</v>
      </c>
    </row>
    <row r="119" spans="2:7">
      <c r="B119" s="248" t="s">
        <v>610</v>
      </c>
      <c r="C119" s="162" t="s">
        <v>611</v>
      </c>
      <c r="D119" s="249">
        <v>34246</v>
      </c>
      <c r="E119" s="250">
        <v>42000.6</v>
      </c>
      <c r="F119" s="249">
        <v>42207</v>
      </c>
      <c r="G119" s="251" t="s">
        <v>553</v>
      </c>
    </row>
    <row r="120" spans="2:7">
      <c r="B120" s="248" t="s">
        <v>612</v>
      </c>
      <c r="C120" s="162" t="s">
        <v>613</v>
      </c>
      <c r="D120" s="249">
        <v>27844</v>
      </c>
      <c r="E120" s="250">
        <v>53000</v>
      </c>
      <c r="F120" s="249">
        <v>38517</v>
      </c>
      <c r="G120" s="251" t="s">
        <v>555</v>
      </c>
    </row>
    <row r="121" spans="2:7">
      <c r="B121" s="248" t="s">
        <v>614</v>
      </c>
      <c r="C121" s="162" t="s">
        <v>615</v>
      </c>
      <c r="D121" s="249">
        <v>32343</v>
      </c>
      <c r="E121" s="250">
        <v>49000.5</v>
      </c>
      <c r="F121" s="249">
        <v>40807</v>
      </c>
      <c r="G121" s="251" t="s">
        <v>570</v>
      </c>
    </row>
    <row r="122" spans="2:7">
      <c r="B122" s="248" t="s">
        <v>616</v>
      </c>
      <c r="C122" s="162" t="s">
        <v>617</v>
      </c>
      <c r="D122" s="249">
        <v>29993</v>
      </c>
      <c r="E122" s="250">
        <v>45800.25</v>
      </c>
      <c r="F122" s="249">
        <v>39317</v>
      </c>
      <c r="G122" s="251" t="s">
        <v>573</v>
      </c>
    </row>
    <row r="123" spans="2:7">
      <c r="B123" s="248" t="s">
        <v>618</v>
      </c>
      <c r="C123" s="162" t="s">
        <v>619</v>
      </c>
      <c r="D123" s="249">
        <v>35031</v>
      </c>
      <c r="E123" s="250">
        <v>36000.75</v>
      </c>
      <c r="F123" s="249">
        <v>42903</v>
      </c>
      <c r="G123" s="251" t="s">
        <v>576</v>
      </c>
    </row>
    <row r="124" spans="2:7">
      <c r="B124" s="248" t="s">
        <v>620</v>
      </c>
      <c r="C124" s="162" t="s">
        <v>621</v>
      </c>
      <c r="D124" s="249">
        <v>30413</v>
      </c>
      <c r="E124" s="250">
        <v>50000.6</v>
      </c>
      <c r="F124" s="249">
        <v>39802</v>
      </c>
      <c r="G124" s="251" t="s">
        <v>579</v>
      </c>
    </row>
    <row r="125" spans="2:7">
      <c r="B125" s="248" t="s">
        <v>622</v>
      </c>
      <c r="C125" s="162" t="s">
        <v>623</v>
      </c>
      <c r="D125" s="249">
        <v>32892</v>
      </c>
      <c r="E125" s="250">
        <v>44000.800000000003</v>
      </c>
      <c r="F125" s="249">
        <v>42453</v>
      </c>
      <c r="G125" s="251" t="s">
        <v>582</v>
      </c>
    </row>
    <row r="126" spans="2:7">
      <c r="B126" s="248" t="s">
        <v>624</v>
      </c>
      <c r="C126" s="162" t="s">
        <v>625</v>
      </c>
      <c r="D126" s="249">
        <v>31272</v>
      </c>
      <c r="E126" s="250">
        <v>48500</v>
      </c>
      <c r="F126" s="249">
        <v>40493</v>
      </c>
      <c r="G126" s="251" t="s">
        <v>585</v>
      </c>
    </row>
    <row r="127" spans="2:7">
      <c r="B127" s="248" t="s">
        <v>626</v>
      </c>
      <c r="C127" s="162" t="s">
        <v>627</v>
      </c>
      <c r="D127" s="249">
        <v>31922</v>
      </c>
      <c r="E127" s="250">
        <v>50700.5</v>
      </c>
      <c r="F127" s="249">
        <v>41105</v>
      </c>
      <c r="G127" s="251" t="s">
        <v>557</v>
      </c>
    </row>
    <row r="128" spans="2:7">
      <c r="B128" s="248" t="s">
        <v>628</v>
      </c>
      <c r="C128" s="162" t="s">
        <v>629</v>
      </c>
      <c r="D128" s="249">
        <v>29831</v>
      </c>
      <c r="E128" s="250">
        <v>53200.75</v>
      </c>
      <c r="F128" s="249">
        <v>39829</v>
      </c>
      <c r="G128" s="251" t="s">
        <v>551</v>
      </c>
    </row>
    <row r="129" spans="2:7">
      <c r="B129" s="248" t="s">
        <v>630</v>
      </c>
      <c r="C129" s="162" t="s">
        <v>631</v>
      </c>
      <c r="D129" s="249">
        <v>34334</v>
      </c>
      <c r="E129" s="250">
        <v>39800.25</v>
      </c>
      <c r="F129" s="249">
        <v>41932</v>
      </c>
      <c r="G129" s="251" t="s">
        <v>553</v>
      </c>
    </row>
    <row r="130" spans="2:7">
      <c r="B130" s="248" t="s">
        <v>632</v>
      </c>
      <c r="C130" s="162" t="s">
        <v>633</v>
      </c>
      <c r="D130" s="249">
        <v>31515</v>
      </c>
      <c r="E130" s="250">
        <v>48000.75</v>
      </c>
      <c r="F130" s="249">
        <v>40655</v>
      </c>
      <c r="G130" s="251" t="s">
        <v>555</v>
      </c>
    </row>
    <row r="131" spans="2:7">
      <c r="B131" s="248" t="s">
        <v>634</v>
      </c>
      <c r="C131" s="162" t="s">
        <v>635</v>
      </c>
      <c r="D131" s="249">
        <v>32309</v>
      </c>
      <c r="E131" s="250">
        <v>47000.3</v>
      </c>
      <c r="F131" s="249">
        <v>41059</v>
      </c>
      <c r="G131" s="251" t="s">
        <v>570</v>
      </c>
    </row>
    <row r="132" spans="2:7">
      <c r="B132" s="248" t="s">
        <v>636</v>
      </c>
      <c r="C132" s="162" t="s">
        <v>637</v>
      </c>
      <c r="D132" s="249">
        <v>31013</v>
      </c>
      <c r="E132" s="250">
        <v>54500.45</v>
      </c>
      <c r="F132" s="249">
        <v>40522</v>
      </c>
      <c r="G132" s="251" t="s">
        <v>573</v>
      </c>
    </row>
    <row r="133" spans="2:7">
      <c r="B133" s="248" t="s">
        <v>638</v>
      </c>
      <c r="C133" s="162" t="s">
        <v>639</v>
      </c>
      <c r="D133" s="249">
        <v>33456</v>
      </c>
      <c r="E133" s="250">
        <v>40000.6</v>
      </c>
      <c r="F133" s="249">
        <v>42017</v>
      </c>
      <c r="G133" s="251" t="s">
        <v>576</v>
      </c>
    </row>
    <row r="134" spans="2:7">
      <c r="B134" s="248" t="s">
        <v>640</v>
      </c>
      <c r="C134" s="162" t="s">
        <v>641</v>
      </c>
      <c r="D134" s="249">
        <v>29292</v>
      </c>
      <c r="E134" s="250">
        <v>51000.75</v>
      </c>
      <c r="F134" s="249">
        <v>39622</v>
      </c>
      <c r="G134" s="251" t="s">
        <v>579</v>
      </c>
    </row>
    <row r="135" spans="2:7">
      <c r="B135" s="248" t="s">
        <v>642</v>
      </c>
      <c r="C135" s="162" t="s">
        <v>643</v>
      </c>
      <c r="D135" s="249">
        <v>30216</v>
      </c>
      <c r="E135" s="250">
        <v>43000.800000000003</v>
      </c>
      <c r="F135" s="249">
        <v>40131</v>
      </c>
      <c r="G135" s="251" t="s">
        <v>582</v>
      </c>
    </row>
    <row r="136" spans="2:7">
      <c r="B136" s="248" t="s">
        <v>644</v>
      </c>
      <c r="C136" s="162" t="s">
        <v>645</v>
      </c>
      <c r="D136" s="249">
        <v>28860</v>
      </c>
      <c r="E136" s="250">
        <v>55500</v>
      </c>
      <c r="F136" s="249">
        <v>39157</v>
      </c>
      <c r="G136" s="251" t="s">
        <v>585</v>
      </c>
    </row>
    <row r="137" spans="2:7">
      <c r="B137" s="248" t="s">
        <v>646</v>
      </c>
      <c r="C137" s="162" t="s">
        <v>647</v>
      </c>
      <c r="D137" s="249">
        <v>33012</v>
      </c>
      <c r="E137" s="250">
        <v>42200.5</v>
      </c>
      <c r="F137" s="249">
        <v>42173</v>
      </c>
      <c r="G137" s="251" t="s">
        <v>557</v>
      </c>
    </row>
    <row r="138" spans="2:7">
      <c r="B138" s="248" t="s">
        <v>648</v>
      </c>
      <c r="C138" s="162" t="s">
        <v>649</v>
      </c>
      <c r="D138" s="249">
        <v>31253</v>
      </c>
      <c r="E138" s="250">
        <v>46000.25</v>
      </c>
      <c r="F138" s="249">
        <v>40223</v>
      </c>
      <c r="G138" s="251" t="s">
        <v>551</v>
      </c>
    </row>
    <row r="139" spans="2:7">
      <c r="B139" s="248" t="s">
        <v>650</v>
      </c>
      <c r="C139" s="162" t="s">
        <v>651</v>
      </c>
      <c r="D139" s="249">
        <v>33947</v>
      </c>
      <c r="E139" s="250">
        <v>41500.75</v>
      </c>
      <c r="F139" s="249">
        <v>41509</v>
      </c>
      <c r="G139" s="251" t="s">
        <v>553</v>
      </c>
    </row>
    <row r="140" spans="2:7">
      <c r="B140" s="248" t="s">
        <v>652</v>
      </c>
      <c r="C140" s="162" t="s">
        <v>653</v>
      </c>
      <c r="D140" s="249">
        <v>30382</v>
      </c>
      <c r="E140" s="250">
        <v>49000.6</v>
      </c>
      <c r="F140" s="249">
        <v>39739</v>
      </c>
      <c r="G140" s="251" t="s">
        <v>555</v>
      </c>
    </row>
    <row r="141" spans="2:7">
      <c r="B141" s="248" t="s">
        <v>654</v>
      </c>
      <c r="C141" s="162" t="s">
        <v>655</v>
      </c>
      <c r="D141" s="249">
        <v>32080</v>
      </c>
      <c r="E141" s="250">
        <v>45000.800000000003</v>
      </c>
      <c r="F141" s="249">
        <v>40899</v>
      </c>
      <c r="G141" s="251" t="s">
        <v>570</v>
      </c>
    </row>
    <row r="142" spans="2:7">
      <c r="B142" s="248" t="s">
        <v>656</v>
      </c>
      <c r="C142" s="162" t="s">
        <v>657</v>
      </c>
      <c r="D142" s="249">
        <v>28809</v>
      </c>
      <c r="E142" s="250">
        <v>54500</v>
      </c>
      <c r="F142" s="249">
        <v>38971</v>
      </c>
      <c r="G142" s="251" t="s">
        <v>573</v>
      </c>
    </row>
    <row r="143" spans="2:7">
      <c r="B143" s="248" t="s">
        <v>658</v>
      </c>
      <c r="C143" s="162" t="s">
        <v>659</v>
      </c>
      <c r="D143" s="249">
        <v>34505</v>
      </c>
      <c r="E143" s="250">
        <v>37800.5</v>
      </c>
      <c r="F143" s="249">
        <v>42136</v>
      </c>
      <c r="G143" s="251" t="s">
        <v>576</v>
      </c>
    </row>
    <row r="144" spans="2:7">
      <c r="B144" s="248" t="s">
        <v>660</v>
      </c>
      <c r="C144" s="162" t="s">
        <v>661</v>
      </c>
      <c r="D144" s="249">
        <v>29947</v>
      </c>
      <c r="E144" s="250">
        <v>50000.25</v>
      </c>
      <c r="F144" s="249">
        <v>40050</v>
      </c>
      <c r="G144" s="251" t="s">
        <v>579</v>
      </c>
    </row>
    <row r="145" spans="2:7">
      <c r="B145" s="248" t="s">
        <v>662</v>
      </c>
      <c r="C145" s="162" t="s">
        <v>663</v>
      </c>
      <c r="D145" s="249">
        <v>34746</v>
      </c>
      <c r="E145" s="250">
        <v>43000.75</v>
      </c>
      <c r="F145" s="249">
        <v>42643</v>
      </c>
      <c r="G145" s="251" t="s">
        <v>582</v>
      </c>
    </row>
    <row r="146" spans="2:7">
      <c r="B146" s="248" t="s">
        <v>664</v>
      </c>
      <c r="C146" s="162" t="s">
        <v>665</v>
      </c>
      <c r="D146" s="249">
        <v>31653</v>
      </c>
      <c r="E146" s="250">
        <v>48000.6</v>
      </c>
      <c r="F146" s="249">
        <v>40387</v>
      </c>
      <c r="G146" s="251" t="s">
        <v>585</v>
      </c>
    </row>
    <row r="147" spans="2:7">
      <c r="B147" s="248" t="s">
        <v>666</v>
      </c>
      <c r="C147" s="162" t="s">
        <v>667</v>
      </c>
      <c r="D147" s="249">
        <v>30764</v>
      </c>
      <c r="E147" s="250">
        <v>42000.800000000003</v>
      </c>
      <c r="F147" s="249">
        <v>39979</v>
      </c>
      <c r="G147" s="251" t="s">
        <v>557</v>
      </c>
    </row>
    <row r="148" spans="2:7">
      <c r="B148" s="248" t="s">
        <v>668</v>
      </c>
      <c r="C148" s="162" t="s">
        <v>669</v>
      </c>
      <c r="D148" s="249">
        <v>31922</v>
      </c>
      <c r="E148" s="250">
        <v>50000</v>
      </c>
      <c r="F148" s="249">
        <v>41157</v>
      </c>
      <c r="G148" s="251" t="s">
        <v>551</v>
      </c>
    </row>
    <row r="149" spans="2:7">
      <c r="B149" s="248" t="s">
        <v>670</v>
      </c>
      <c r="C149" s="162" t="s">
        <v>671</v>
      </c>
      <c r="D149" s="249">
        <v>33525</v>
      </c>
      <c r="E149" s="250">
        <v>44000.5</v>
      </c>
      <c r="F149" s="249">
        <v>41475</v>
      </c>
      <c r="G149" s="251" t="s">
        <v>553</v>
      </c>
    </row>
    <row r="150" spans="2:7">
      <c r="B150" s="248" t="s">
        <v>672</v>
      </c>
      <c r="C150" s="162" t="s">
        <v>673</v>
      </c>
      <c r="D150" s="249">
        <v>28021</v>
      </c>
      <c r="E150" s="250">
        <v>52000.75</v>
      </c>
      <c r="F150" s="249">
        <v>38497</v>
      </c>
      <c r="G150" s="251" t="s">
        <v>555</v>
      </c>
    </row>
    <row r="151" spans="2:7">
      <c r="B151" s="248" t="s">
        <v>674</v>
      </c>
      <c r="C151" s="162" t="s">
        <v>675</v>
      </c>
      <c r="D151" s="249">
        <v>33709</v>
      </c>
      <c r="E151" s="250">
        <v>42800.25</v>
      </c>
      <c r="F151" s="249">
        <v>41931</v>
      </c>
      <c r="G151" s="251" t="s">
        <v>570</v>
      </c>
    </row>
    <row r="152" spans="2:7">
      <c r="B152" s="248" t="s">
        <v>676</v>
      </c>
      <c r="C152" s="162" t="s">
        <v>677</v>
      </c>
      <c r="D152" s="249">
        <v>30539</v>
      </c>
      <c r="E152" s="250">
        <v>49000.75</v>
      </c>
      <c r="F152" s="249">
        <v>39467</v>
      </c>
      <c r="G152" s="251" t="s">
        <v>573</v>
      </c>
    </row>
    <row r="153" spans="2:7">
      <c r="B153" s="248" t="s">
        <v>678</v>
      </c>
      <c r="C153" s="162" t="s">
        <v>679</v>
      </c>
      <c r="D153" s="249">
        <v>31725</v>
      </c>
      <c r="E153" s="250">
        <v>46500.6</v>
      </c>
      <c r="F153" s="249">
        <v>40614</v>
      </c>
      <c r="G153" s="251" t="s">
        <v>576</v>
      </c>
    </row>
    <row r="154" spans="2:7">
      <c r="B154" s="248" t="s">
        <v>680</v>
      </c>
      <c r="C154" s="162" t="s">
        <v>681</v>
      </c>
      <c r="D154" s="249">
        <v>29376</v>
      </c>
      <c r="E154" s="250">
        <v>50000.800000000003</v>
      </c>
      <c r="F154" s="249">
        <v>39130</v>
      </c>
      <c r="G154" s="251" t="s">
        <v>579</v>
      </c>
    </row>
    <row r="155" spans="2:7">
      <c r="B155" s="248" t="s">
        <v>682</v>
      </c>
      <c r="C155" s="162" t="s">
        <v>683</v>
      </c>
      <c r="D155" s="249">
        <v>34172</v>
      </c>
      <c r="E155" s="250">
        <v>40200</v>
      </c>
      <c r="F155" s="249">
        <v>42180</v>
      </c>
      <c r="G155" s="251" t="s">
        <v>582</v>
      </c>
    </row>
    <row r="156" spans="2:7">
      <c r="B156" s="248" t="s">
        <v>684</v>
      </c>
      <c r="C156" s="162" t="s">
        <v>685</v>
      </c>
      <c r="D156" s="249">
        <v>29675</v>
      </c>
      <c r="E156" s="250">
        <v>53500.5</v>
      </c>
      <c r="F156" s="249">
        <v>39688</v>
      </c>
      <c r="G156" s="251" t="s">
        <v>585</v>
      </c>
    </row>
    <row r="157" spans="2:7">
      <c r="B157" s="248" t="s">
        <v>686</v>
      </c>
      <c r="C157" s="162" t="s">
        <v>687</v>
      </c>
      <c r="D157" s="249">
        <v>31306</v>
      </c>
      <c r="E157" s="250">
        <v>42000.25</v>
      </c>
      <c r="F157" s="249">
        <v>40472</v>
      </c>
      <c r="G157" s="251" t="s">
        <v>557</v>
      </c>
    </row>
    <row r="158" spans="2:7">
      <c r="B158" s="248" t="s">
        <v>688</v>
      </c>
      <c r="C158" s="162" t="s">
        <v>689</v>
      </c>
      <c r="D158" s="249">
        <v>33931</v>
      </c>
      <c r="E158" s="250">
        <v>47000.75</v>
      </c>
      <c r="F158" s="249">
        <v>41529</v>
      </c>
      <c r="G158" s="251" t="s">
        <v>551</v>
      </c>
    </row>
    <row r="159" spans="2:7">
      <c r="B159" s="248" t="s">
        <v>690</v>
      </c>
      <c r="C159" s="162" t="s">
        <v>691</v>
      </c>
      <c r="D159" s="249">
        <v>30829</v>
      </c>
      <c r="E159" s="250">
        <v>40800.6</v>
      </c>
      <c r="F159" s="249">
        <v>39918</v>
      </c>
      <c r="G159" s="251" t="s">
        <v>553</v>
      </c>
    </row>
    <row r="160" spans="2:7">
      <c r="B160" s="248" t="s">
        <v>692</v>
      </c>
      <c r="C160" s="162" t="s">
        <v>693</v>
      </c>
      <c r="D160" s="249">
        <v>32130</v>
      </c>
      <c r="E160" s="250">
        <v>45000.800000000003</v>
      </c>
      <c r="F160" s="249">
        <v>40734</v>
      </c>
      <c r="G160" s="251" t="s">
        <v>555</v>
      </c>
    </row>
    <row r="161" spans="2:7">
      <c r="B161" s="248" t="s">
        <v>694</v>
      </c>
      <c r="C161" s="162" t="s">
        <v>695</v>
      </c>
      <c r="D161" s="249">
        <v>29077</v>
      </c>
      <c r="E161" s="250">
        <v>55000</v>
      </c>
      <c r="F161" s="249">
        <v>39037</v>
      </c>
      <c r="G161" s="251" t="s">
        <v>570</v>
      </c>
    </row>
    <row r="162" spans="2:7">
      <c r="B162" s="248" t="s">
        <v>696</v>
      </c>
      <c r="C162" s="162" t="s">
        <v>697</v>
      </c>
      <c r="D162" s="249">
        <v>33434</v>
      </c>
      <c r="E162" s="250">
        <v>42800.5</v>
      </c>
      <c r="F162" s="249">
        <v>42091</v>
      </c>
      <c r="G162" s="251" t="s">
        <v>573</v>
      </c>
    </row>
    <row r="163" spans="2:7">
      <c r="B163" s="248" t="s">
        <v>698</v>
      </c>
      <c r="C163" s="162" t="s">
        <v>699</v>
      </c>
      <c r="D163" s="249">
        <v>31418</v>
      </c>
      <c r="E163" s="250">
        <v>47000.25</v>
      </c>
      <c r="F163" s="249">
        <v>40450</v>
      </c>
      <c r="G163" s="251" t="s">
        <v>576</v>
      </c>
    </row>
    <row r="164" spans="2:7">
      <c r="B164" s="248" t="s">
        <v>700</v>
      </c>
      <c r="C164" s="162" t="s">
        <v>701</v>
      </c>
      <c r="D164" s="249">
        <v>30071</v>
      </c>
      <c r="E164" s="250">
        <v>52000.75</v>
      </c>
      <c r="F164" s="249">
        <v>39769</v>
      </c>
      <c r="G164" s="251" t="s">
        <v>579</v>
      </c>
    </row>
    <row r="165" spans="2:7">
      <c r="B165" s="248" t="s">
        <v>702</v>
      </c>
      <c r="C165" s="162" t="s">
        <v>703</v>
      </c>
      <c r="D165" s="249">
        <v>33215</v>
      </c>
      <c r="E165" s="250">
        <v>39500.6</v>
      </c>
      <c r="F165" s="249">
        <v>42422</v>
      </c>
      <c r="G165" s="251" t="s">
        <v>582</v>
      </c>
    </row>
    <row r="166" spans="2:7">
      <c r="B166" s="248" t="s">
        <v>704</v>
      </c>
      <c r="C166" s="162" t="s">
        <v>705</v>
      </c>
      <c r="D166" s="249">
        <v>31338</v>
      </c>
      <c r="E166" s="250">
        <v>50000.800000000003</v>
      </c>
      <c r="F166" s="249">
        <v>40256</v>
      </c>
      <c r="G166" s="251" t="s">
        <v>585</v>
      </c>
    </row>
    <row r="167" spans="2:7">
      <c r="B167" s="248" t="s">
        <v>706</v>
      </c>
      <c r="C167" s="162" t="s">
        <v>707</v>
      </c>
      <c r="D167" s="249">
        <v>34550</v>
      </c>
      <c r="E167" s="250">
        <v>41200</v>
      </c>
      <c r="F167" s="249">
        <v>42565</v>
      </c>
      <c r="G167" s="251" t="s">
        <v>557</v>
      </c>
    </row>
    <row r="168" spans="2:7">
      <c r="B168" s="248" t="s">
        <v>708</v>
      </c>
      <c r="C168" s="162" t="s">
        <v>709</v>
      </c>
      <c r="D168" s="249">
        <v>30460</v>
      </c>
      <c r="E168" s="250">
        <v>46500.5</v>
      </c>
      <c r="F168" s="249">
        <v>39611</v>
      </c>
      <c r="G168" s="251" t="s">
        <v>551</v>
      </c>
    </row>
    <row r="169" spans="2:7">
      <c r="B169" s="248" t="s">
        <v>710</v>
      </c>
      <c r="C169" s="162" t="s">
        <v>711</v>
      </c>
      <c r="D169" s="249">
        <v>32023</v>
      </c>
      <c r="E169" s="250">
        <v>42800.25</v>
      </c>
      <c r="F169" s="249">
        <v>40658</v>
      </c>
      <c r="G169" s="251" t="s">
        <v>553</v>
      </c>
    </row>
    <row r="170" spans="2:7">
      <c r="B170" s="248" t="s">
        <v>712</v>
      </c>
      <c r="C170" s="162" t="s">
        <v>713</v>
      </c>
      <c r="D170" s="249">
        <v>29904</v>
      </c>
      <c r="E170" s="250">
        <v>49000.75</v>
      </c>
      <c r="F170" s="249">
        <v>40122</v>
      </c>
      <c r="G170" s="251" t="s">
        <v>555</v>
      </c>
    </row>
    <row r="171" spans="2:7">
      <c r="B171" s="248" t="s">
        <v>714</v>
      </c>
      <c r="C171" s="162" t="s">
        <v>715</v>
      </c>
      <c r="D171" s="249">
        <v>31244</v>
      </c>
      <c r="E171" s="250">
        <v>44000.6</v>
      </c>
      <c r="F171" s="249">
        <v>40224</v>
      </c>
      <c r="G171" s="251" t="s">
        <v>570</v>
      </c>
    </row>
    <row r="172" spans="2:7">
      <c r="B172" s="248" t="s">
        <v>716</v>
      </c>
      <c r="C172" s="162" t="s">
        <v>717</v>
      </c>
      <c r="D172" s="249">
        <v>30039</v>
      </c>
      <c r="E172" s="250">
        <v>54500.800000000003</v>
      </c>
      <c r="F172" s="249">
        <v>39308</v>
      </c>
      <c r="G172" s="251" t="s">
        <v>573</v>
      </c>
    </row>
    <row r="173" spans="2:7">
      <c r="B173" s="248" t="s">
        <v>718</v>
      </c>
      <c r="C173" s="162" t="s">
        <v>719</v>
      </c>
      <c r="D173" s="249">
        <v>33390</v>
      </c>
      <c r="E173" s="250">
        <v>37500</v>
      </c>
      <c r="F173" s="249">
        <v>41770</v>
      </c>
      <c r="G173" s="251" t="s">
        <v>576</v>
      </c>
    </row>
    <row r="174" spans="2:7">
      <c r="B174" s="248" t="s">
        <v>720</v>
      </c>
      <c r="C174" s="162" t="s">
        <v>721</v>
      </c>
      <c r="D174" s="249">
        <v>29456</v>
      </c>
      <c r="E174" s="250">
        <v>50000.5</v>
      </c>
      <c r="F174" s="249">
        <v>39469</v>
      </c>
      <c r="G174" s="251" t="s">
        <v>579</v>
      </c>
    </row>
    <row r="175" spans="2:7">
      <c r="B175" s="248" t="s">
        <v>722</v>
      </c>
      <c r="C175" s="162" t="s">
        <v>723</v>
      </c>
      <c r="D175" s="249">
        <v>34078</v>
      </c>
      <c r="E175" s="250">
        <v>42000.75</v>
      </c>
      <c r="F175" s="249">
        <v>42305</v>
      </c>
      <c r="G175" s="251" t="s">
        <v>582</v>
      </c>
    </row>
    <row r="176" spans="2:7">
      <c r="B176" s="248" t="s">
        <v>724</v>
      </c>
      <c r="C176" s="162" t="s">
        <v>725</v>
      </c>
      <c r="D176" s="249">
        <v>29940</v>
      </c>
      <c r="E176" s="250">
        <v>53800.6</v>
      </c>
      <c r="F176" s="249">
        <v>39860</v>
      </c>
      <c r="G176" s="251" t="s">
        <v>585</v>
      </c>
    </row>
    <row r="177" spans="2:7">
      <c r="B177" s="248" t="s">
        <v>726</v>
      </c>
      <c r="C177" s="162" t="s">
        <v>727</v>
      </c>
      <c r="D177" s="249">
        <v>33202</v>
      </c>
      <c r="E177" s="250">
        <v>39000.800000000003</v>
      </c>
      <c r="F177" s="249">
        <v>42546</v>
      </c>
      <c r="G177" s="251" t="s">
        <v>557</v>
      </c>
    </row>
    <row r="178" spans="2:7">
      <c r="B178" s="248" t="s">
        <v>728</v>
      </c>
      <c r="C178" s="162" t="s">
        <v>729</v>
      </c>
      <c r="D178" s="249">
        <v>31805</v>
      </c>
      <c r="E178" s="250">
        <v>50000</v>
      </c>
      <c r="F178" s="249">
        <v>40617</v>
      </c>
      <c r="G178" s="251" t="s">
        <v>551</v>
      </c>
    </row>
    <row r="179" spans="2:7">
      <c r="B179" s="248" t="s">
        <v>730</v>
      </c>
      <c r="C179" s="162" t="s">
        <v>731</v>
      </c>
      <c r="D179" s="249">
        <v>34584</v>
      </c>
      <c r="E179" s="250">
        <v>41000.5</v>
      </c>
      <c r="F179" s="249">
        <v>42600</v>
      </c>
      <c r="G179" s="251" t="s">
        <v>553</v>
      </c>
    </row>
    <row r="180" spans="2:7">
      <c r="B180" s="248" t="s">
        <v>732</v>
      </c>
      <c r="C180" s="162" t="s">
        <v>733</v>
      </c>
      <c r="D180" s="249">
        <v>31090</v>
      </c>
      <c r="E180" s="250">
        <v>52000.75</v>
      </c>
      <c r="F180" s="249">
        <v>40375</v>
      </c>
      <c r="G180" s="251" t="s">
        <v>555</v>
      </c>
    </row>
    <row r="181" spans="2:7">
      <c r="B181" s="248" t="s">
        <v>734</v>
      </c>
      <c r="C181" s="162" t="s">
        <v>735</v>
      </c>
      <c r="D181" s="249">
        <v>34333</v>
      </c>
      <c r="E181" s="250">
        <v>42800.25</v>
      </c>
      <c r="F181" s="249">
        <v>41953</v>
      </c>
      <c r="G181" s="251" t="s">
        <v>570</v>
      </c>
    </row>
    <row r="182" spans="2:7">
      <c r="B182" s="248" t="s">
        <v>736</v>
      </c>
      <c r="C182" s="162" t="s">
        <v>737</v>
      </c>
      <c r="D182" s="249">
        <v>31717</v>
      </c>
      <c r="E182" s="250">
        <v>49500.75</v>
      </c>
      <c r="F182" s="249">
        <v>40595</v>
      </c>
      <c r="G182" s="251" t="s">
        <v>573</v>
      </c>
    </row>
    <row r="183" spans="2:7">
      <c r="B183" s="248" t="s">
        <v>738</v>
      </c>
      <c r="C183" s="162" t="s">
        <v>739</v>
      </c>
      <c r="D183" s="249">
        <v>30794</v>
      </c>
      <c r="E183" s="250">
        <v>46200.6</v>
      </c>
      <c r="F183" s="249">
        <v>40105</v>
      </c>
      <c r="G183" s="251" t="s">
        <v>576</v>
      </c>
    </row>
    <row r="184" spans="2:7">
      <c r="B184" s="248" t="s">
        <v>740</v>
      </c>
      <c r="C184" s="162" t="s">
        <v>741</v>
      </c>
      <c r="D184" s="249">
        <v>30609</v>
      </c>
      <c r="E184" s="250">
        <v>50800.800000000003</v>
      </c>
      <c r="F184" s="249">
        <v>39521</v>
      </c>
      <c r="G184" s="251" t="s">
        <v>579</v>
      </c>
    </row>
    <row r="185" spans="2:7">
      <c r="B185" s="248" t="s">
        <v>742</v>
      </c>
      <c r="C185" s="162" t="s">
        <v>743</v>
      </c>
      <c r="D185" s="249">
        <v>33042</v>
      </c>
      <c r="E185" s="250">
        <v>40200</v>
      </c>
      <c r="F185" s="249">
        <v>42119</v>
      </c>
      <c r="G185" s="251" t="s">
        <v>582</v>
      </c>
    </row>
    <row r="186" spans="2:7">
      <c r="B186" s="248" t="s">
        <v>744</v>
      </c>
      <c r="C186" s="162" t="s">
        <v>745</v>
      </c>
      <c r="D186" s="249">
        <v>29589</v>
      </c>
      <c r="E186" s="250">
        <v>53000.5</v>
      </c>
      <c r="F186" s="249">
        <v>39976</v>
      </c>
      <c r="G186" s="251" t="s">
        <v>585</v>
      </c>
    </row>
    <row r="187" spans="2:7">
      <c r="B187" s="248" t="s">
        <v>746</v>
      </c>
      <c r="C187" s="162" t="s">
        <v>747</v>
      </c>
      <c r="D187" s="249">
        <v>31287</v>
      </c>
      <c r="E187" s="250">
        <v>42000.25</v>
      </c>
      <c r="F187" s="249">
        <v>40198</v>
      </c>
      <c r="G187" s="251" t="s">
        <v>557</v>
      </c>
    </row>
    <row r="188" spans="2:7">
      <c r="B188" s="248" t="s">
        <v>748</v>
      </c>
      <c r="C188" s="162" t="s">
        <v>749</v>
      </c>
      <c r="D188" s="249">
        <v>33385</v>
      </c>
      <c r="E188" s="250">
        <v>47000.75</v>
      </c>
      <c r="F188" s="249">
        <v>41572</v>
      </c>
      <c r="G188" s="251" t="s">
        <v>551</v>
      </c>
    </row>
    <row r="189" spans="2:7">
      <c r="B189" s="248" t="s">
        <v>750</v>
      </c>
      <c r="C189" s="162" t="s">
        <v>751</v>
      </c>
      <c r="D189" s="249">
        <v>30936</v>
      </c>
      <c r="E189" s="250">
        <v>40800.6</v>
      </c>
      <c r="F189" s="249">
        <v>40053</v>
      </c>
      <c r="G189" s="251" t="s">
        <v>553</v>
      </c>
    </row>
    <row r="190" spans="2:7">
      <c r="B190" s="248" t="s">
        <v>752</v>
      </c>
      <c r="C190" s="162" t="s">
        <v>753</v>
      </c>
      <c r="D190" s="249">
        <v>31768</v>
      </c>
      <c r="E190" s="250">
        <v>45000.800000000003</v>
      </c>
      <c r="F190" s="249">
        <v>40887</v>
      </c>
      <c r="G190" s="251" t="s">
        <v>555</v>
      </c>
    </row>
    <row r="191" spans="2:7">
      <c r="B191" s="248" t="s">
        <v>754</v>
      </c>
      <c r="C191" s="162" t="s">
        <v>755</v>
      </c>
      <c r="D191" s="249">
        <v>30541</v>
      </c>
      <c r="E191" s="250">
        <v>55000</v>
      </c>
      <c r="F191" s="249">
        <v>39595</v>
      </c>
      <c r="G191" s="251" t="s">
        <v>570</v>
      </c>
    </row>
    <row r="192" spans="2:7">
      <c r="B192" s="248" t="s">
        <v>756</v>
      </c>
      <c r="C192" s="162" t="s">
        <v>757</v>
      </c>
      <c r="D192" s="249">
        <v>33789</v>
      </c>
      <c r="E192" s="250">
        <v>42800.5</v>
      </c>
      <c r="F192" s="249">
        <v>42357</v>
      </c>
      <c r="G192" s="251" t="s">
        <v>573</v>
      </c>
    </row>
    <row r="193" spans="2:11">
      <c r="B193" s="248" t="s">
        <v>758</v>
      </c>
      <c r="C193" s="162" t="s">
        <v>759</v>
      </c>
      <c r="D193" s="249">
        <v>31857</v>
      </c>
      <c r="E193" s="250">
        <v>47000.25</v>
      </c>
      <c r="F193" s="249">
        <v>40282</v>
      </c>
      <c r="G193" s="251" t="s">
        <v>576</v>
      </c>
    </row>
    <row r="194" spans="2:11">
      <c r="B194" s="248" t="s">
        <v>760</v>
      </c>
      <c r="C194" s="162" t="s">
        <v>761</v>
      </c>
      <c r="D194" s="249">
        <v>29999</v>
      </c>
      <c r="E194" s="250">
        <v>52000.75</v>
      </c>
      <c r="F194" s="249">
        <v>39288</v>
      </c>
      <c r="G194" s="251" t="s">
        <v>579</v>
      </c>
    </row>
    <row r="195" spans="2:11">
      <c r="B195" s="248" t="s">
        <v>762</v>
      </c>
      <c r="C195" s="162" t="s">
        <v>763</v>
      </c>
      <c r="D195" s="249">
        <v>34643</v>
      </c>
      <c r="E195" s="250">
        <v>39500.6</v>
      </c>
      <c r="F195" s="249">
        <v>42451</v>
      </c>
      <c r="G195" s="251" t="s">
        <v>582</v>
      </c>
    </row>
    <row r="196" spans="2:11">
      <c r="B196" s="248" t="s">
        <v>764</v>
      </c>
      <c r="C196" s="162" t="s">
        <v>765</v>
      </c>
      <c r="D196" s="249">
        <v>31236</v>
      </c>
      <c r="E196" s="250">
        <v>50000.800000000003</v>
      </c>
      <c r="F196" s="249">
        <v>40433</v>
      </c>
      <c r="G196" s="251" t="s">
        <v>585</v>
      </c>
    </row>
    <row r="197" spans="2:11">
      <c r="B197" s="172" t="s">
        <v>556</v>
      </c>
      <c r="C197" s="252" t="s">
        <v>766</v>
      </c>
      <c r="D197" s="253">
        <v>35051</v>
      </c>
      <c r="E197" s="254">
        <v>42200</v>
      </c>
      <c r="F197" s="253">
        <v>42957</v>
      </c>
      <c r="G197" s="255" t="s">
        <v>557</v>
      </c>
    </row>
    <row r="199" spans="2:11" ht="15.75" thickBot="1"/>
    <row r="200" spans="2:11" ht="19.5" thickBot="1">
      <c r="B200" s="361" t="s">
        <v>768</v>
      </c>
      <c r="C200" s="443" t="s">
        <v>280</v>
      </c>
      <c r="D200" s="443" t="s">
        <v>767</v>
      </c>
      <c r="E200" s="362" t="s">
        <v>75</v>
      </c>
      <c r="F200" s="362" t="s">
        <v>770</v>
      </c>
      <c r="G200" s="362" t="s">
        <v>769</v>
      </c>
      <c r="H200" s="444" t="s">
        <v>922</v>
      </c>
      <c r="I200" s="362" t="s">
        <v>911</v>
      </c>
      <c r="J200" s="363" t="s">
        <v>548</v>
      </c>
    </row>
    <row r="201" spans="2:11">
      <c r="B201" s="257">
        <f ca="1">ROUNDUP((TODAY()-D98)/365.5,1)</f>
        <v>39.800000000000004</v>
      </c>
      <c r="C201" s="1" t="str">
        <f>LEFT(C98,FIND(" ",C98))</f>
        <v xml:space="preserve">John </v>
      </c>
      <c r="D201" s="1" t="str">
        <f>MID(C98,(FIND(" ",C98)+1),(FIND(" ",C98,FIND(" ",C98)+1))-(FIND(" ",C98)))</f>
        <v xml:space="preserve">Michael </v>
      </c>
      <c r="E201" s="1" t="str">
        <f>RIGHT(C98,LEN(C98)-FIND(" ", C98, FIND(" ", C98) + 1))</f>
        <v>Doe</v>
      </c>
      <c r="F201" s="1" t="str">
        <f>PROPER(C98)</f>
        <v>John Michael Doe</v>
      </c>
      <c r="G201" s="1" t="str">
        <f>DOLLAR(E98,0)</f>
        <v>₹ 30,000</v>
      </c>
      <c r="H201" s="1" t="str">
        <f>T(G201)</f>
        <v>₹ 30,000</v>
      </c>
      <c r="I201" s="403" t="str">
        <f ca="1">CONCATENATE(G98,B98,B201)</f>
        <v>D001E00139.8</v>
      </c>
      <c r="J201" s="258" t="str">
        <f>TEXT(F98," dd mmm yyyy")</f>
        <v xml:space="preserve"> 01 Jun 2010</v>
      </c>
      <c r="K201" s="257"/>
    </row>
    <row r="202" spans="2:11">
      <c r="B202" s="257">
        <f t="shared" ref="B202:B265" ca="1" si="5">ROUNDUP((TODAY()-D99)/365.5,1)</f>
        <v>34.6</v>
      </c>
      <c r="C202" s="1" t="str">
        <f t="shared" ref="C202:C265" si="6">LEFT(C99,FIND(" ",C99))</f>
        <v xml:space="preserve">Jane </v>
      </c>
      <c r="D202" s="1" t="str">
        <f>MID(C99,(FIND(" ",C99)+1),(FIND(" ",C99,FIND(" ",C99)+1))-(FIND(" ",C99)))</f>
        <v xml:space="preserve">Elizabeth </v>
      </c>
      <c r="E202" s="1" t="str">
        <f t="shared" ref="E202:E265" si="7">RIGHT(C99,LEN(C99)-FIND(" ", C99, FIND(" ", C99) + 1))</f>
        <v>Smith</v>
      </c>
      <c r="F202" s="1" t="str">
        <f t="shared" ref="F202:F265" si="8">PROPER(C99)</f>
        <v>Jane Elizabeth Smith</v>
      </c>
      <c r="G202" s="1" t="str">
        <f t="shared" ref="G202:G265" si="9">DOLLAR(E99,0)</f>
        <v>₹ 45,001</v>
      </c>
      <c r="H202" s="1" t="str">
        <f t="shared" ref="H202:H265" si="10">T(G202)</f>
        <v>₹ 45,001</v>
      </c>
      <c r="I202" s="403" t="str">
        <f t="shared" ref="I202:I265" ca="1" si="11">CONCATENATE(G99,B99,B202)</f>
        <v>D002E00234.6</v>
      </c>
      <c r="J202" s="258" t="str">
        <f t="shared" ref="J202:J265" si="12">TEXT(F99," dd mmm yyyy")</f>
        <v xml:space="preserve"> 15 Jul 2015</v>
      </c>
    </row>
    <row r="203" spans="2:11">
      <c r="B203" s="257">
        <f t="shared" ca="1" si="5"/>
        <v>42.4</v>
      </c>
      <c r="C203" s="1" t="str">
        <f t="shared" si="6"/>
        <v xml:space="preserve">Michael </v>
      </c>
      <c r="D203" s="1" t="str">
        <f t="shared" ref="D203:D265" si="13">MID(C100,(FIND(" ",C100)+1),(FIND(" ",C100,FIND(" ",C100)+1))-(FIND(" ",C100)))</f>
        <v xml:space="preserve">James </v>
      </c>
      <c r="E203" s="1" t="str">
        <f t="shared" si="7"/>
        <v>Johnson</v>
      </c>
      <c r="F203" s="1" t="str">
        <f t="shared" si="8"/>
        <v>Michael James Johnson</v>
      </c>
      <c r="G203" s="1" t="str">
        <f t="shared" si="9"/>
        <v>₹ 50,001</v>
      </c>
      <c r="H203" s="1" t="str">
        <f t="shared" si="10"/>
        <v>₹ 50,001</v>
      </c>
      <c r="I203" s="403" t="str">
        <f t="shared" ca="1" si="11"/>
        <v>D003E00342.4</v>
      </c>
      <c r="J203" s="258" t="str">
        <f t="shared" si="12"/>
        <v xml:space="preserve"> 20 Mar 2008</v>
      </c>
    </row>
    <row r="204" spans="2:11">
      <c r="B204" s="257">
        <f t="shared" ca="1" si="5"/>
        <v>35.9</v>
      </c>
      <c r="C204" s="1" t="str">
        <f t="shared" si="6"/>
        <v xml:space="preserve">Emily </v>
      </c>
      <c r="D204" s="1" t="str">
        <f t="shared" si="13"/>
        <v xml:space="preserve">Ann </v>
      </c>
      <c r="E204" s="1" t="str">
        <f t="shared" si="7"/>
        <v>Brown</v>
      </c>
      <c r="F204" s="1" t="str">
        <f t="shared" si="8"/>
        <v>Emily Ann Brown</v>
      </c>
      <c r="G204" s="1" t="str">
        <f t="shared" si="9"/>
        <v>₹ 38,000</v>
      </c>
      <c r="H204" s="1" t="str">
        <f t="shared" si="10"/>
        <v>₹ 38,000</v>
      </c>
      <c r="I204" s="403" t="str">
        <f t="shared" ca="1" si="11"/>
        <v>D004E00435.9</v>
      </c>
      <c r="J204" s="258" t="str">
        <f t="shared" si="12"/>
        <v xml:space="preserve"> 05 Nov 2012</v>
      </c>
    </row>
    <row r="205" spans="2:11">
      <c r="B205" s="257">
        <f t="shared" ca="1" si="5"/>
        <v>49.6</v>
      </c>
      <c r="C205" s="1" t="str">
        <f t="shared" si="6"/>
        <v xml:space="preserve">William </v>
      </c>
      <c r="D205" s="1" t="str">
        <f t="shared" si="13"/>
        <v xml:space="preserve">David </v>
      </c>
      <c r="E205" s="1" t="str">
        <f t="shared" si="7"/>
        <v>Williams</v>
      </c>
      <c r="F205" s="1" t="str">
        <f t="shared" si="8"/>
        <v>William David Williams</v>
      </c>
      <c r="G205" s="1" t="str">
        <f t="shared" si="9"/>
        <v>₹ 55,000</v>
      </c>
      <c r="H205" s="1" t="str">
        <f t="shared" si="10"/>
        <v>₹ 55,000</v>
      </c>
      <c r="I205" s="403" t="str">
        <f t="shared" ca="1" si="11"/>
        <v>D005E00549.6</v>
      </c>
      <c r="J205" s="258" t="str">
        <f t="shared" si="12"/>
        <v xml:space="preserve"> 15 Jan 2005</v>
      </c>
    </row>
    <row r="206" spans="2:11">
      <c r="B206" s="257">
        <f t="shared" ca="1" si="5"/>
        <v>31.700000000000003</v>
      </c>
      <c r="C206" s="1" t="str">
        <f t="shared" si="6"/>
        <v xml:space="preserve">Linda </v>
      </c>
      <c r="D206" s="1" t="str">
        <f t="shared" si="13"/>
        <v xml:space="preserve">Maria </v>
      </c>
      <c r="E206" s="1" t="str">
        <f t="shared" si="7"/>
        <v>Taylor</v>
      </c>
      <c r="F206" s="1" t="str">
        <f t="shared" si="8"/>
        <v>Linda Maria Taylor</v>
      </c>
      <c r="G206" s="1" t="str">
        <f t="shared" si="9"/>
        <v>₹ 40,000</v>
      </c>
      <c r="H206" s="1" t="str">
        <f t="shared" si="10"/>
        <v>₹ 40,000</v>
      </c>
      <c r="I206" s="403" t="str">
        <f t="shared" ca="1" si="11"/>
        <v>D006E00631.7</v>
      </c>
      <c r="J206" s="258" t="str">
        <f t="shared" si="12"/>
        <v xml:space="preserve"> 20 Aug 2014</v>
      </c>
    </row>
    <row r="207" spans="2:11">
      <c r="B207" s="257">
        <f t="shared" ca="1" si="5"/>
        <v>37</v>
      </c>
      <c r="C207" s="1" t="str">
        <f t="shared" si="6"/>
        <v xml:space="preserve">James </v>
      </c>
      <c r="D207" s="1" t="str">
        <f t="shared" si="13"/>
        <v xml:space="preserve">Robert </v>
      </c>
      <c r="E207" s="1" t="str">
        <f t="shared" si="7"/>
        <v>Anderson</v>
      </c>
      <c r="F207" s="1" t="str">
        <f t="shared" si="8"/>
        <v>James Robert Anderson</v>
      </c>
      <c r="G207" s="1" t="str">
        <f t="shared" si="9"/>
        <v>₹ 47,000</v>
      </c>
      <c r="H207" s="1" t="str">
        <f t="shared" si="10"/>
        <v>₹ 47,000</v>
      </c>
      <c r="I207" s="403" t="str">
        <f t="shared" ca="1" si="11"/>
        <v>D007E00737</v>
      </c>
      <c r="J207" s="258" t="str">
        <f t="shared" si="12"/>
        <v xml:space="preserve"> 25 May 2011</v>
      </c>
    </row>
    <row r="208" spans="2:11">
      <c r="B208" s="257">
        <f t="shared" ca="1" si="5"/>
        <v>45.300000000000004</v>
      </c>
      <c r="C208" s="1" t="str">
        <f t="shared" si="6"/>
        <v xml:space="preserve">Patricia </v>
      </c>
      <c r="D208" s="1" t="str">
        <f t="shared" si="13"/>
        <v xml:space="preserve">Anne </v>
      </c>
      <c r="E208" s="1" t="str">
        <f t="shared" si="7"/>
        <v>Martinez</v>
      </c>
      <c r="F208" s="1" t="str">
        <f t="shared" si="8"/>
        <v>Patricia Anne Martinez</v>
      </c>
      <c r="G208" s="1" t="str">
        <f t="shared" si="9"/>
        <v>₹ 42,001</v>
      </c>
      <c r="H208" s="1" t="str">
        <f t="shared" si="10"/>
        <v>₹ 42,001</v>
      </c>
      <c r="I208" s="403" t="str">
        <f t="shared" ca="1" si="11"/>
        <v>D008E00845.3</v>
      </c>
      <c r="J208" s="258" t="str">
        <f t="shared" si="12"/>
        <v xml:space="preserve"> 30 Sep 2006</v>
      </c>
    </row>
    <row r="209" spans="2:10">
      <c r="B209" s="257">
        <f t="shared" ca="1" si="5"/>
        <v>43.4</v>
      </c>
      <c r="C209" s="1" t="str">
        <f t="shared" si="6"/>
        <v xml:space="preserve">Robert </v>
      </c>
      <c r="D209" s="1" t="str">
        <f t="shared" si="13"/>
        <v xml:space="preserve">John </v>
      </c>
      <c r="E209" s="1" t="str">
        <f t="shared" si="7"/>
        <v>Hernandez</v>
      </c>
      <c r="F209" s="1" t="str">
        <f t="shared" si="8"/>
        <v>Robert John Hernandez</v>
      </c>
      <c r="G209" s="1" t="str">
        <f t="shared" si="9"/>
        <v>₹ 50,001</v>
      </c>
      <c r="H209" s="1" t="str">
        <f t="shared" si="10"/>
        <v>₹ 50,001</v>
      </c>
      <c r="I209" s="403" t="str">
        <f t="shared" ca="1" si="11"/>
        <v>D009E00943.4</v>
      </c>
      <c r="J209" s="258" t="str">
        <f t="shared" si="12"/>
        <v xml:space="preserve"> 10 Mar 2009</v>
      </c>
    </row>
    <row r="210" spans="2:10">
      <c r="B210" s="257">
        <f t="shared" ca="1" si="5"/>
        <v>30.200000000000003</v>
      </c>
      <c r="C210" s="1" t="str">
        <f t="shared" si="6"/>
        <v xml:space="preserve">Sarah </v>
      </c>
      <c r="D210" s="1" t="str">
        <f t="shared" si="13"/>
        <v xml:space="preserve">Jessica </v>
      </c>
      <c r="E210" s="1" t="str">
        <f t="shared" si="7"/>
        <v>Lee</v>
      </c>
      <c r="F210" s="1" t="str">
        <f t="shared" si="8"/>
        <v>Sarah Jessica Lee</v>
      </c>
      <c r="G210" s="1" t="str">
        <f t="shared" si="9"/>
        <v>₹ 32,001</v>
      </c>
      <c r="H210" s="1" t="str">
        <f t="shared" si="10"/>
        <v>₹ 32,001</v>
      </c>
      <c r="I210" s="403" t="str">
        <f t="shared" ca="1" si="11"/>
        <v>D010E01030.2</v>
      </c>
      <c r="J210" s="258" t="str">
        <f t="shared" si="12"/>
        <v xml:space="preserve"> 20 Feb 2017</v>
      </c>
    </row>
    <row r="211" spans="2:10">
      <c r="B211" s="257">
        <f t="shared" ca="1" si="5"/>
        <v>38.5</v>
      </c>
      <c r="C211" s="1" t="str">
        <f t="shared" si="6"/>
        <v xml:space="preserve">Charles </v>
      </c>
      <c r="D211" s="1" t="str">
        <f t="shared" si="13"/>
        <v xml:space="preserve">Anthony </v>
      </c>
      <c r="E211" s="1" t="str">
        <f t="shared" si="7"/>
        <v>Lopez</v>
      </c>
      <c r="F211" s="1" t="str">
        <f t="shared" si="8"/>
        <v>Charles Anthony Lopez</v>
      </c>
      <c r="G211" s="1" t="str">
        <f t="shared" si="9"/>
        <v>₹ 45,000</v>
      </c>
      <c r="H211" s="1" t="str">
        <f t="shared" si="10"/>
        <v>₹ 45,000</v>
      </c>
      <c r="I211" s="403" t="str">
        <f t="shared" ca="1" si="11"/>
        <v>D001E01138.5</v>
      </c>
      <c r="J211" s="258" t="str">
        <f t="shared" si="12"/>
        <v xml:space="preserve"> 05 Dec 2011</v>
      </c>
    </row>
    <row r="212" spans="2:10">
      <c r="B212" s="257">
        <f t="shared" ca="1" si="5"/>
        <v>40.300000000000004</v>
      </c>
      <c r="C212" s="1" t="str">
        <f t="shared" si="6"/>
        <v xml:space="preserve">Barbara </v>
      </c>
      <c r="D212" s="1" t="str">
        <f t="shared" si="13"/>
        <v xml:space="preserve">Ann </v>
      </c>
      <c r="E212" s="1" t="str">
        <f t="shared" si="7"/>
        <v>Gonzalez</v>
      </c>
      <c r="F212" s="1" t="str">
        <f t="shared" si="8"/>
        <v>Barbara Ann Gonzalez</v>
      </c>
      <c r="G212" s="1" t="str">
        <f t="shared" si="9"/>
        <v>₹ 47,000</v>
      </c>
      <c r="H212" s="1" t="str">
        <f t="shared" si="10"/>
        <v>₹ 47,000</v>
      </c>
      <c r="I212" s="403" t="str">
        <f t="shared" ca="1" si="11"/>
        <v>D002E01240.3</v>
      </c>
      <c r="J212" s="258" t="str">
        <f t="shared" si="12"/>
        <v xml:space="preserve"> 15 Jun 2010</v>
      </c>
    </row>
    <row r="213" spans="2:10">
      <c r="B213" s="257">
        <f t="shared" ca="1" si="5"/>
        <v>46.800000000000004</v>
      </c>
      <c r="C213" s="1" t="str">
        <f t="shared" si="6"/>
        <v xml:space="preserve">David </v>
      </c>
      <c r="D213" s="1" t="str">
        <f t="shared" si="13"/>
        <v xml:space="preserve">Thomas </v>
      </c>
      <c r="E213" s="1" t="str">
        <f t="shared" si="7"/>
        <v>Wilson</v>
      </c>
      <c r="F213" s="1" t="str">
        <f t="shared" si="8"/>
        <v>David Thomas Wilson</v>
      </c>
      <c r="G213" s="1" t="str">
        <f t="shared" si="9"/>
        <v>₹ 48,000</v>
      </c>
      <c r="H213" s="1" t="str">
        <f t="shared" si="10"/>
        <v>₹ 48,000</v>
      </c>
      <c r="I213" s="403" t="str">
        <f t="shared" ca="1" si="11"/>
        <v>D003E01346.8</v>
      </c>
      <c r="J213" s="258" t="str">
        <f t="shared" si="12"/>
        <v xml:space="preserve"> 05 Jul 2007</v>
      </c>
    </row>
    <row r="214" spans="2:10">
      <c r="B214" s="257">
        <f t="shared" ca="1" si="5"/>
        <v>33</v>
      </c>
      <c r="C214" s="1" t="str">
        <f t="shared" si="6"/>
        <v xml:space="preserve">Susan </v>
      </c>
      <c r="D214" s="1" t="str">
        <f t="shared" si="13"/>
        <v xml:space="preserve">Marie </v>
      </c>
      <c r="E214" s="1" t="str">
        <f t="shared" si="7"/>
        <v>Clark</v>
      </c>
      <c r="F214" s="1" t="str">
        <f t="shared" si="8"/>
        <v>Susan Marie Clark</v>
      </c>
      <c r="G214" s="1" t="str">
        <f t="shared" si="9"/>
        <v>₹ 42,000</v>
      </c>
      <c r="H214" s="1" t="str">
        <f t="shared" si="10"/>
        <v>₹ 42,000</v>
      </c>
      <c r="I214" s="403" t="str">
        <f t="shared" ca="1" si="11"/>
        <v>D004E01433</v>
      </c>
      <c r="J214" s="258" t="str">
        <f t="shared" si="12"/>
        <v xml:space="preserve"> 18 Sep 2013</v>
      </c>
    </row>
    <row r="215" spans="2:10">
      <c r="B215" s="257">
        <f t="shared" ca="1" si="5"/>
        <v>37.700000000000003</v>
      </c>
      <c r="C215" s="1" t="str">
        <f t="shared" si="6"/>
        <v xml:space="preserve">Richard </v>
      </c>
      <c r="D215" s="1" t="str">
        <f t="shared" si="13"/>
        <v xml:space="preserve">Edward </v>
      </c>
      <c r="E215" s="1" t="str">
        <f t="shared" si="7"/>
        <v>Robinson</v>
      </c>
      <c r="F215" s="1" t="str">
        <f t="shared" si="8"/>
        <v>Richard Edward Robinson</v>
      </c>
      <c r="G215" s="1" t="str">
        <f t="shared" si="9"/>
        <v>₹ 50,001</v>
      </c>
      <c r="H215" s="1" t="str">
        <f t="shared" si="10"/>
        <v>₹ 50,001</v>
      </c>
      <c r="I215" s="403" t="str">
        <f t="shared" ca="1" si="11"/>
        <v>D005E01537.7</v>
      </c>
      <c r="J215" s="258" t="str">
        <f t="shared" si="12"/>
        <v xml:space="preserve"> 20 Nov 2012</v>
      </c>
    </row>
    <row r="216" spans="2:10">
      <c r="B216" s="257">
        <f t="shared" ca="1" si="5"/>
        <v>39.9</v>
      </c>
      <c r="C216" s="1" t="str">
        <f t="shared" si="6"/>
        <v xml:space="preserve">Mary </v>
      </c>
      <c r="D216" s="1" t="str">
        <f t="shared" si="13"/>
        <v xml:space="preserve">Louise </v>
      </c>
      <c r="E216" s="1" t="str">
        <f t="shared" si="7"/>
        <v>Lewis</v>
      </c>
      <c r="F216" s="1" t="str">
        <f t="shared" si="8"/>
        <v>Mary Louise Lewis</v>
      </c>
      <c r="G216" s="1" t="str">
        <f t="shared" si="9"/>
        <v>₹ 39,001</v>
      </c>
      <c r="H216" s="1" t="str">
        <f t="shared" si="10"/>
        <v>₹ 39,001</v>
      </c>
      <c r="I216" s="403" t="str">
        <f t="shared" ca="1" si="11"/>
        <v>D006E01639.9</v>
      </c>
      <c r="J216" s="258" t="str">
        <f t="shared" si="12"/>
        <v xml:space="preserve"> 23 May 2010</v>
      </c>
    </row>
    <row r="217" spans="2:10">
      <c r="B217" s="257">
        <f t="shared" ca="1" si="5"/>
        <v>35.4</v>
      </c>
      <c r="C217" s="1" t="str">
        <f t="shared" si="6"/>
        <v xml:space="preserve">Joseph </v>
      </c>
      <c r="D217" s="1" t="str">
        <f t="shared" si="13"/>
        <v xml:space="preserve">Henry </v>
      </c>
      <c r="E217" s="1" t="str">
        <f t="shared" si="7"/>
        <v>Walker</v>
      </c>
      <c r="F217" s="1" t="str">
        <f t="shared" si="8"/>
        <v>Joseph Henry Walker</v>
      </c>
      <c r="G217" s="1" t="str">
        <f t="shared" si="9"/>
        <v>₹ 51,001</v>
      </c>
      <c r="H217" s="1" t="str">
        <f t="shared" si="10"/>
        <v>₹ 51,001</v>
      </c>
      <c r="I217" s="403" t="str">
        <f t="shared" ca="1" si="11"/>
        <v>D007E01735.4</v>
      </c>
      <c r="J217" s="258" t="str">
        <f t="shared" si="12"/>
        <v xml:space="preserve"> 25 Apr 2011</v>
      </c>
    </row>
    <row r="218" spans="2:10">
      <c r="B218" s="257">
        <f t="shared" ca="1" si="5"/>
        <v>47.5</v>
      </c>
      <c r="C218" s="1" t="str">
        <f t="shared" si="6"/>
        <v xml:space="preserve">Karen </v>
      </c>
      <c r="D218" s="1" t="str">
        <f t="shared" si="13"/>
        <v xml:space="preserve">Patricia </v>
      </c>
      <c r="E218" s="1" t="str">
        <f t="shared" si="7"/>
        <v>Hall</v>
      </c>
      <c r="F218" s="1" t="str">
        <f t="shared" si="8"/>
        <v>Karen Patricia Hall</v>
      </c>
      <c r="G218" s="1" t="str">
        <f t="shared" si="9"/>
        <v>₹ 39,500</v>
      </c>
      <c r="H218" s="1" t="str">
        <f t="shared" si="10"/>
        <v>₹ 39,500</v>
      </c>
      <c r="I218" s="403" t="str">
        <f t="shared" ca="1" si="11"/>
        <v>D008E01847.5</v>
      </c>
      <c r="J218" s="258" t="str">
        <f t="shared" si="12"/>
        <v xml:space="preserve"> 13 Aug 2006</v>
      </c>
    </row>
    <row r="219" spans="2:10">
      <c r="B219" s="257">
        <f t="shared" ca="1" si="5"/>
        <v>44.300000000000004</v>
      </c>
      <c r="C219" s="1" t="str">
        <f t="shared" si="6"/>
        <v xml:space="preserve">Christopher </v>
      </c>
      <c r="D219" s="1" t="str">
        <f t="shared" si="13"/>
        <v xml:space="preserve">John </v>
      </c>
      <c r="E219" s="1" t="str">
        <f t="shared" si="7"/>
        <v>Allen</v>
      </c>
      <c r="F219" s="1" t="str">
        <f t="shared" si="8"/>
        <v>Christopher John Allen</v>
      </c>
      <c r="G219" s="1" t="str">
        <f t="shared" si="9"/>
        <v>₹ 55,201</v>
      </c>
      <c r="H219" s="1" t="str">
        <f t="shared" si="10"/>
        <v>₹ 55,201</v>
      </c>
      <c r="I219" s="403" t="str">
        <f t="shared" ca="1" si="11"/>
        <v>D009E01944.3</v>
      </c>
      <c r="J219" s="258" t="str">
        <f t="shared" si="12"/>
        <v xml:space="preserve"> 19 Oct 2008</v>
      </c>
    </row>
    <row r="220" spans="2:10">
      <c r="B220" s="257">
        <f t="shared" ca="1" si="5"/>
        <v>34.1</v>
      </c>
      <c r="C220" s="1" t="str">
        <f t="shared" si="6"/>
        <v xml:space="preserve">Nancy </v>
      </c>
      <c r="D220" s="1" t="str">
        <f t="shared" si="13"/>
        <v xml:space="preserve">Ann </v>
      </c>
      <c r="E220" s="1" t="str">
        <f t="shared" si="7"/>
        <v>Young</v>
      </c>
      <c r="F220" s="1" t="str">
        <f t="shared" si="8"/>
        <v>Nancy Ann Young</v>
      </c>
      <c r="G220" s="1" t="str">
        <f t="shared" si="9"/>
        <v>₹ 37,800</v>
      </c>
      <c r="H220" s="1" t="str">
        <f t="shared" si="10"/>
        <v>₹ 37,800</v>
      </c>
      <c r="I220" s="403" t="str">
        <f t="shared" ca="1" si="11"/>
        <v>D010E02034.1</v>
      </c>
      <c r="J220" s="258" t="str">
        <f t="shared" si="12"/>
        <v xml:space="preserve"> 15 Mar 2014</v>
      </c>
    </row>
    <row r="221" spans="2:10">
      <c r="B221" s="257">
        <f t="shared" ca="1" si="5"/>
        <v>40.800000000000004</v>
      </c>
      <c r="C221" s="1" t="str">
        <f t="shared" si="6"/>
        <v xml:space="preserve">Daniel </v>
      </c>
      <c r="D221" s="1" t="str">
        <f t="shared" si="13"/>
        <v xml:space="preserve">Robert </v>
      </c>
      <c r="E221" s="1" t="str">
        <f t="shared" si="7"/>
        <v>King</v>
      </c>
      <c r="F221" s="1" t="str">
        <f t="shared" si="8"/>
        <v>Daniel Robert King</v>
      </c>
      <c r="G221" s="1" t="str">
        <f t="shared" si="9"/>
        <v>₹ 46,501</v>
      </c>
      <c r="H221" s="1" t="str">
        <f t="shared" si="10"/>
        <v>₹ 46,501</v>
      </c>
      <c r="I221" s="403" t="str">
        <f t="shared" ca="1" si="11"/>
        <v>D001E02140.8</v>
      </c>
      <c r="J221" s="258" t="str">
        <f t="shared" si="12"/>
        <v xml:space="preserve"> 18 May 2009</v>
      </c>
    </row>
    <row r="222" spans="2:10">
      <c r="B222" s="257">
        <f t="shared" ca="1" si="5"/>
        <v>31.400000000000002</v>
      </c>
      <c r="C222" s="1" t="str">
        <f t="shared" si="6"/>
        <v xml:space="preserve">Michelle </v>
      </c>
      <c r="D222" s="1" t="str">
        <f t="shared" si="13"/>
        <v xml:space="preserve">Anne </v>
      </c>
      <c r="E222" s="1" t="str">
        <f t="shared" si="7"/>
        <v>Wright</v>
      </c>
      <c r="F222" s="1" t="str">
        <f t="shared" si="8"/>
        <v>Michelle Anne Wright</v>
      </c>
      <c r="G222" s="1" t="str">
        <f t="shared" si="9"/>
        <v>₹ 42,001</v>
      </c>
      <c r="H222" s="1" t="str">
        <f t="shared" si="10"/>
        <v>₹ 42,001</v>
      </c>
      <c r="I222" s="403" t="str">
        <f t="shared" ca="1" si="11"/>
        <v>D002E02231.4</v>
      </c>
      <c r="J222" s="258" t="str">
        <f t="shared" si="12"/>
        <v xml:space="preserve"> 22 Jul 2015</v>
      </c>
    </row>
    <row r="223" spans="2:10">
      <c r="B223" s="257">
        <f t="shared" ca="1" si="5"/>
        <v>49</v>
      </c>
      <c r="C223" s="1" t="str">
        <f t="shared" si="6"/>
        <v xml:space="preserve">Brian </v>
      </c>
      <c r="D223" s="1" t="str">
        <f t="shared" si="13"/>
        <v xml:space="preserve">Scott </v>
      </c>
      <c r="E223" s="1" t="str">
        <f t="shared" si="7"/>
        <v>Green</v>
      </c>
      <c r="F223" s="1" t="str">
        <f t="shared" si="8"/>
        <v>Brian Scott Green</v>
      </c>
      <c r="G223" s="1" t="str">
        <f t="shared" si="9"/>
        <v>₹ 53,000</v>
      </c>
      <c r="H223" s="1" t="str">
        <f t="shared" si="10"/>
        <v>₹ 53,000</v>
      </c>
      <c r="I223" s="403" t="str">
        <f t="shared" ca="1" si="11"/>
        <v>D003E02349</v>
      </c>
      <c r="J223" s="258" t="str">
        <f t="shared" si="12"/>
        <v xml:space="preserve"> 14 Jun 2005</v>
      </c>
    </row>
    <row r="224" spans="2:10">
      <c r="B224" s="257">
        <f t="shared" ca="1" si="5"/>
        <v>36.700000000000003</v>
      </c>
      <c r="C224" s="1" t="str">
        <f t="shared" si="6"/>
        <v xml:space="preserve">Laura </v>
      </c>
      <c r="D224" s="1" t="str">
        <f t="shared" si="13"/>
        <v xml:space="preserve">Marie </v>
      </c>
      <c r="E224" s="1" t="str">
        <f t="shared" si="7"/>
        <v>Adams</v>
      </c>
      <c r="F224" s="1" t="str">
        <f t="shared" si="8"/>
        <v>Laura Marie Adams</v>
      </c>
      <c r="G224" s="1" t="str">
        <f t="shared" si="9"/>
        <v>₹ 49,001</v>
      </c>
      <c r="H224" s="1" t="str">
        <f t="shared" si="10"/>
        <v>₹ 49,001</v>
      </c>
      <c r="I224" s="403" t="str">
        <f t="shared" ca="1" si="11"/>
        <v>D004E02436.7</v>
      </c>
      <c r="J224" s="258" t="str">
        <f t="shared" si="12"/>
        <v xml:space="preserve"> 21 Sep 2011</v>
      </c>
    </row>
    <row r="225" spans="2:10">
      <c r="B225" s="257">
        <f t="shared" ca="1" si="5"/>
        <v>43.1</v>
      </c>
      <c r="C225" s="1" t="str">
        <f t="shared" si="6"/>
        <v xml:space="preserve">Kevin </v>
      </c>
      <c r="D225" s="1" t="str">
        <f t="shared" si="13"/>
        <v xml:space="preserve">John </v>
      </c>
      <c r="E225" s="1" t="str">
        <f t="shared" si="7"/>
        <v>Nelson</v>
      </c>
      <c r="F225" s="1" t="str">
        <f t="shared" si="8"/>
        <v>Kevin John Nelson</v>
      </c>
      <c r="G225" s="1" t="str">
        <f t="shared" si="9"/>
        <v>₹ 45,800</v>
      </c>
      <c r="H225" s="1" t="str">
        <f t="shared" si="10"/>
        <v>₹ 45,800</v>
      </c>
      <c r="I225" s="403" t="str">
        <f t="shared" ca="1" si="11"/>
        <v>D005E02543.1</v>
      </c>
      <c r="J225" s="258" t="str">
        <f t="shared" si="12"/>
        <v xml:space="preserve"> 23 Aug 2007</v>
      </c>
    </row>
    <row r="226" spans="2:10">
      <c r="B226" s="257">
        <f t="shared" ca="1" si="5"/>
        <v>29.3</v>
      </c>
      <c r="C226" s="1" t="str">
        <f t="shared" si="6"/>
        <v xml:space="preserve">Kimberly </v>
      </c>
      <c r="D226" s="1" t="str">
        <f t="shared" si="13"/>
        <v xml:space="preserve">Ann </v>
      </c>
      <c r="E226" s="1" t="str">
        <f t="shared" si="7"/>
        <v>Baker</v>
      </c>
      <c r="F226" s="1" t="str">
        <f t="shared" si="8"/>
        <v>Kimberly Ann Baker</v>
      </c>
      <c r="G226" s="1" t="str">
        <f t="shared" si="9"/>
        <v>₹ 36,001</v>
      </c>
      <c r="H226" s="1" t="str">
        <f t="shared" si="10"/>
        <v>₹ 36,001</v>
      </c>
      <c r="I226" s="403" t="str">
        <f t="shared" ca="1" si="11"/>
        <v>D006E02629.3</v>
      </c>
      <c r="J226" s="258" t="str">
        <f t="shared" si="12"/>
        <v xml:space="preserve"> 17 Jun 2017</v>
      </c>
    </row>
    <row r="227" spans="2:10">
      <c r="B227" s="257">
        <f t="shared" ca="1" si="5"/>
        <v>41.9</v>
      </c>
      <c r="C227" s="1" t="str">
        <f t="shared" si="6"/>
        <v xml:space="preserve">Edward </v>
      </c>
      <c r="D227" s="1" t="str">
        <f t="shared" si="13"/>
        <v xml:space="preserve">James </v>
      </c>
      <c r="E227" s="1" t="str">
        <f t="shared" si="7"/>
        <v>Carter</v>
      </c>
      <c r="F227" s="1" t="str">
        <f t="shared" si="8"/>
        <v>Edward James Carter</v>
      </c>
      <c r="G227" s="1" t="str">
        <f t="shared" si="9"/>
        <v>₹ 50,001</v>
      </c>
      <c r="H227" s="1" t="str">
        <f t="shared" si="10"/>
        <v>₹ 50,001</v>
      </c>
      <c r="I227" s="403" t="str">
        <f t="shared" ca="1" si="11"/>
        <v>D007E02741.9</v>
      </c>
      <c r="J227" s="258" t="str">
        <f t="shared" si="12"/>
        <v xml:space="preserve"> 20 Dec 2008</v>
      </c>
    </row>
    <row r="228" spans="2:10">
      <c r="B228" s="257">
        <f t="shared" ca="1" si="5"/>
        <v>35.200000000000003</v>
      </c>
      <c r="C228" s="1" t="str">
        <f t="shared" si="6"/>
        <v xml:space="preserve">Jessica </v>
      </c>
      <c r="D228" s="1" t="str">
        <f t="shared" si="13"/>
        <v xml:space="preserve">Marie </v>
      </c>
      <c r="E228" s="1" t="str">
        <f t="shared" si="7"/>
        <v>Mitchell</v>
      </c>
      <c r="F228" s="1" t="str">
        <f t="shared" si="8"/>
        <v>Jessica Marie Mitchell</v>
      </c>
      <c r="G228" s="1" t="str">
        <f t="shared" si="9"/>
        <v>₹ 44,001</v>
      </c>
      <c r="H228" s="1" t="str">
        <f t="shared" si="10"/>
        <v>₹ 44,001</v>
      </c>
      <c r="I228" s="403" t="str">
        <f t="shared" ca="1" si="11"/>
        <v>D008E02835.2</v>
      </c>
      <c r="J228" s="258" t="str">
        <f t="shared" si="12"/>
        <v xml:space="preserve"> 24 Mar 2016</v>
      </c>
    </row>
    <row r="229" spans="2:10">
      <c r="B229" s="257">
        <f t="shared" ca="1" si="5"/>
        <v>39.6</v>
      </c>
      <c r="C229" s="1" t="str">
        <f t="shared" si="6"/>
        <v xml:space="preserve">Ronald </v>
      </c>
      <c r="D229" s="1" t="str">
        <f t="shared" si="13"/>
        <v xml:space="preserve">David </v>
      </c>
      <c r="E229" s="1" t="str">
        <f t="shared" si="7"/>
        <v>Perez</v>
      </c>
      <c r="F229" s="1" t="str">
        <f t="shared" si="8"/>
        <v>Ronald David Perez</v>
      </c>
      <c r="G229" s="1" t="str">
        <f t="shared" si="9"/>
        <v>₹ 48,500</v>
      </c>
      <c r="H229" s="1" t="str">
        <f t="shared" si="10"/>
        <v>₹ 48,500</v>
      </c>
      <c r="I229" s="403" t="str">
        <f t="shared" ca="1" si="11"/>
        <v>D009E02939.6</v>
      </c>
      <c r="J229" s="258" t="str">
        <f t="shared" si="12"/>
        <v xml:space="preserve"> 11 Nov 2010</v>
      </c>
    </row>
    <row r="230" spans="2:10">
      <c r="B230" s="257">
        <f t="shared" ca="1" si="5"/>
        <v>37.800000000000004</v>
      </c>
      <c r="C230" s="1" t="str">
        <f t="shared" si="6"/>
        <v xml:space="preserve">Margaret </v>
      </c>
      <c r="D230" s="1" t="str">
        <f t="shared" si="13"/>
        <v xml:space="preserve">Ann </v>
      </c>
      <c r="E230" s="1" t="str">
        <f t="shared" si="7"/>
        <v>Roberts</v>
      </c>
      <c r="F230" s="1" t="str">
        <f t="shared" si="8"/>
        <v>Margaret Ann Roberts</v>
      </c>
      <c r="G230" s="1" t="str">
        <f t="shared" si="9"/>
        <v>₹ 50,701</v>
      </c>
      <c r="H230" s="1" t="str">
        <f t="shared" si="10"/>
        <v>₹ 50,701</v>
      </c>
      <c r="I230" s="403" t="str">
        <f t="shared" ca="1" si="11"/>
        <v>D010E03037.8</v>
      </c>
      <c r="J230" s="258" t="str">
        <f t="shared" si="12"/>
        <v xml:space="preserve"> 15 Jul 2012</v>
      </c>
    </row>
    <row r="231" spans="2:10">
      <c r="B231" s="257">
        <f t="shared" ca="1" si="5"/>
        <v>43.5</v>
      </c>
      <c r="C231" s="1" t="str">
        <f t="shared" si="6"/>
        <v xml:space="preserve">Donald </v>
      </c>
      <c r="D231" s="1" t="str">
        <f t="shared" si="13"/>
        <v xml:space="preserve">Scott </v>
      </c>
      <c r="E231" s="1" t="str">
        <f t="shared" si="7"/>
        <v>Turner</v>
      </c>
      <c r="F231" s="1" t="str">
        <f t="shared" si="8"/>
        <v>Donald Scott Turner</v>
      </c>
      <c r="G231" s="1" t="str">
        <f t="shared" si="9"/>
        <v>₹ 53,201</v>
      </c>
      <c r="H231" s="1" t="str">
        <f t="shared" si="10"/>
        <v>₹ 53,201</v>
      </c>
      <c r="I231" s="403" t="str">
        <f t="shared" ca="1" si="11"/>
        <v>D001E03143.5</v>
      </c>
      <c r="J231" s="258" t="str">
        <f t="shared" si="12"/>
        <v xml:space="preserve"> 16 Jan 2009</v>
      </c>
    </row>
    <row r="232" spans="2:10">
      <c r="B232" s="257">
        <f t="shared" ca="1" si="5"/>
        <v>31.200000000000003</v>
      </c>
      <c r="C232" s="1" t="str">
        <f t="shared" si="6"/>
        <v xml:space="preserve">Karen </v>
      </c>
      <c r="D232" s="1" t="str">
        <f t="shared" si="13"/>
        <v xml:space="preserve">Lynn </v>
      </c>
      <c r="E232" s="1" t="str">
        <f t="shared" si="7"/>
        <v>Phillips</v>
      </c>
      <c r="F232" s="1" t="str">
        <f t="shared" si="8"/>
        <v>Karen Lynn Phillips</v>
      </c>
      <c r="G232" s="1" t="str">
        <f t="shared" si="9"/>
        <v>₹ 39,800</v>
      </c>
      <c r="H232" s="1" t="str">
        <f t="shared" si="10"/>
        <v>₹ 39,800</v>
      </c>
      <c r="I232" s="403" t="str">
        <f t="shared" ca="1" si="11"/>
        <v>D002E03231.2</v>
      </c>
      <c r="J232" s="258" t="str">
        <f t="shared" si="12"/>
        <v xml:space="preserve"> 20 Oct 2014</v>
      </c>
    </row>
    <row r="233" spans="2:10">
      <c r="B233" s="257">
        <f t="shared" ca="1" si="5"/>
        <v>38.9</v>
      </c>
      <c r="C233" s="1" t="str">
        <f t="shared" si="6"/>
        <v xml:space="preserve">Steven </v>
      </c>
      <c r="D233" s="1" t="str">
        <f t="shared" si="13"/>
        <v xml:space="preserve">John </v>
      </c>
      <c r="E233" s="1" t="str">
        <f t="shared" si="7"/>
        <v>Campbell</v>
      </c>
      <c r="F233" s="1" t="str">
        <f t="shared" si="8"/>
        <v>Steven John Campbell</v>
      </c>
      <c r="G233" s="1" t="str">
        <f t="shared" si="9"/>
        <v>₹ 48,001</v>
      </c>
      <c r="H233" s="1" t="str">
        <f t="shared" si="10"/>
        <v>₹ 48,001</v>
      </c>
      <c r="I233" s="403" t="str">
        <f t="shared" ca="1" si="11"/>
        <v>D003E03338.9</v>
      </c>
      <c r="J233" s="258" t="str">
        <f t="shared" si="12"/>
        <v xml:space="preserve"> 22 Apr 2011</v>
      </c>
    </row>
    <row r="234" spans="2:10">
      <c r="B234" s="257">
        <f t="shared" ca="1" si="5"/>
        <v>36.700000000000003</v>
      </c>
      <c r="C234" s="1" t="str">
        <f t="shared" si="6"/>
        <v xml:space="preserve">Jennifer </v>
      </c>
      <c r="D234" s="1" t="str">
        <f t="shared" si="13"/>
        <v xml:space="preserve">Marie </v>
      </c>
      <c r="E234" s="1" t="str">
        <f t="shared" si="7"/>
        <v>Parker</v>
      </c>
      <c r="F234" s="1" t="str">
        <f t="shared" si="8"/>
        <v>Jennifer Marie Parker</v>
      </c>
      <c r="G234" s="1" t="str">
        <f t="shared" si="9"/>
        <v>₹ 47,000</v>
      </c>
      <c r="H234" s="1" t="str">
        <f t="shared" si="10"/>
        <v>₹ 47,000</v>
      </c>
      <c r="I234" s="403" t="str">
        <f t="shared" ca="1" si="11"/>
        <v>D004E03436.7</v>
      </c>
      <c r="J234" s="258" t="str">
        <f t="shared" si="12"/>
        <v xml:space="preserve"> 30 May 2012</v>
      </c>
    </row>
    <row r="235" spans="2:10">
      <c r="B235" s="257">
        <f t="shared" ca="1" si="5"/>
        <v>40.300000000000004</v>
      </c>
      <c r="C235" s="1" t="str">
        <f t="shared" si="6"/>
        <v xml:space="preserve">George </v>
      </c>
      <c r="D235" s="1" t="str">
        <f t="shared" si="13"/>
        <v xml:space="preserve">Thomas </v>
      </c>
      <c r="E235" s="1" t="str">
        <f t="shared" si="7"/>
        <v>Evans</v>
      </c>
      <c r="F235" s="1" t="str">
        <f t="shared" si="8"/>
        <v>George Thomas Evans</v>
      </c>
      <c r="G235" s="1" t="str">
        <f t="shared" si="9"/>
        <v>₹ 54,500</v>
      </c>
      <c r="H235" s="1" t="str">
        <f t="shared" si="10"/>
        <v>₹ 54,500</v>
      </c>
      <c r="I235" s="403" t="str">
        <f t="shared" ca="1" si="11"/>
        <v>D005E03540.3</v>
      </c>
      <c r="J235" s="258" t="str">
        <f t="shared" si="12"/>
        <v xml:space="preserve"> 10 Dec 2010</v>
      </c>
    </row>
    <row r="236" spans="2:10">
      <c r="B236" s="257">
        <f t="shared" ca="1" si="5"/>
        <v>33.6</v>
      </c>
      <c r="C236" s="1" t="str">
        <f t="shared" si="6"/>
        <v xml:space="preserve">Angela </v>
      </c>
      <c r="D236" s="1" t="str">
        <f t="shared" si="13"/>
        <v xml:space="preserve">Ann </v>
      </c>
      <c r="E236" s="1" t="str">
        <f t="shared" si="7"/>
        <v>Edwards</v>
      </c>
      <c r="F236" s="1" t="str">
        <f t="shared" si="8"/>
        <v>Angela Ann Edwards</v>
      </c>
      <c r="G236" s="1" t="str">
        <f t="shared" si="9"/>
        <v>₹ 40,001</v>
      </c>
      <c r="H236" s="1" t="str">
        <f t="shared" si="10"/>
        <v>₹ 40,001</v>
      </c>
      <c r="I236" s="403" t="str">
        <f t="shared" ca="1" si="11"/>
        <v>D006E03633.6</v>
      </c>
      <c r="J236" s="258" t="str">
        <f t="shared" si="12"/>
        <v xml:space="preserve"> 13 Jan 2015</v>
      </c>
    </row>
    <row r="237" spans="2:10">
      <c r="B237" s="257">
        <f t="shared" ca="1" si="5"/>
        <v>45</v>
      </c>
      <c r="C237" s="1" t="str">
        <f t="shared" si="6"/>
        <v xml:space="preserve">Paul </v>
      </c>
      <c r="D237" s="1" t="str">
        <f t="shared" si="13"/>
        <v xml:space="preserve">David </v>
      </c>
      <c r="E237" s="1" t="str">
        <f t="shared" si="7"/>
        <v>Collins</v>
      </c>
      <c r="F237" s="1" t="str">
        <f t="shared" si="8"/>
        <v>Paul David Collins</v>
      </c>
      <c r="G237" s="1" t="str">
        <f t="shared" si="9"/>
        <v>₹ 51,001</v>
      </c>
      <c r="H237" s="1" t="str">
        <f t="shared" si="10"/>
        <v>₹ 51,001</v>
      </c>
      <c r="I237" s="403" t="str">
        <f t="shared" ca="1" si="11"/>
        <v>D007E03745</v>
      </c>
      <c r="J237" s="258" t="str">
        <f t="shared" si="12"/>
        <v xml:space="preserve"> 23 Jun 2008</v>
      </c>
    </row>
    <row r="238" spans="2:10">
      <c r="B238" s="257">
        <f t="shared" ca="1" si="5"/>
        <v>42.5</v>
      </c>
      <c r="C238" s="1" t="str">
        <f t="shared" si="6"/>
        <v xml:space="preserve">Sandra </v>
      </c>
      <c r="D238" s="1" t="str">
        <f t="shared" si="13"/>
        <v xml:space="preserve">Marie </v>
      </c>
      <c r="E238" s="1" t="str">
        <f t="shared" si="7"/>
        <v>Stewart</v>
      </c>
      <c r="F238" s="1" t="str">
        <f t="shared" si="8"/>
        <v>Sandra Marie Stewart</v>
      </c>
      <c r="G238" s="1" t="str">
        <f t="shared" si="9"/>
        <v>₹ 43,001</v>
      </c>
      <c r="H238" s="1" t="str">
        <f t="shared" si="10"/>
        <v>₹ 43,001</v>
      </c>
      <c r="I238" s="403" t="str">
        <f t="shared" ca="1" si="11"/>
        <v>D008E03842.5</v>
      </c>
      <c r="J238" s="258" t="str">
        <f t="shared" si="12"/>
        <v xml:space="preserve"> 14 Nov 2009</v>
      </c>
    </row>
    <row r="239" spans="2:10">
      <c r="B239" s="257">
        <f t="shared" ca="1" si="5"/>
        <v>46.2</v>
      </c>
      <c r="C239" s="1" t="str">
        <f t="shared" si="6"/>
        <v xml:space="preserve">Kenneth </v>
      </c>
      <c r="D239" s="1" t="str">
        <f t="shared" si="13"/>
        <v xml:space="preserve">John </v>
      </c>
      <c r="E239" s="1" t="str">
        <f t="shared" si="7"/>
        <v>Morris</v>
      </c>
      <c r="F239" s="1" t="str">
        <f t="shared" si="8"/>
        <v>Kenneth John Morris</v>
      </c>
      <c r="G239" s="1" t="str">
        <f t="shared" si="9"/>
        <v>₹ 55,500</v>
      </c>
      <c r="H239" s="1" t="str">
        <f t="shared" si="10"/>
        <v>₹ 55,500</v>
      </c>
      <c r="I239" s="403" t="str">
        <f t="shared" ca="1" si="11"/>
        <v>D009E03946.2</v>
      </c>
      <c r="J239" s="258" t="str">
        <f t="shared" si="12"/>
        <v xml:space="preserve"> 16 Mar 2007</v>
      </c>
    </row>
    <row r="240" spans="2:10">
      <c r="B240" s="257">
        <f t="shared" ca="1" si="5"/>
        <v>34.800000000000004</v>
      </c>
      <c r="C240" s="1" t="str">
        <f t="shared" si="6"/>
        <v xml:space="preserve">Lisa </v>
      </c>
      <c r="D240" s="1" t="str">
        <f t="shared" si="13"/>
        <v xml:space="preserve">Ann </v>
      </c>
      <c r="E240" s="1" t="str">
        <f t="shared" si="7"/>
        <v>Rogers</v>
      </c>
      <c r="F240" s="1" t="str">
        <f t="shared" si="8"/>
        <v>Lisa Ann Rogers</v>
      </c>
      <c r="G240" s="1" t="str">
        <f t="shared" si="9"/>
        <v>₹ 42,201</v>
      </c>
      <c r="H240" s="1" t="str">
        <f t="shared" si="10"/>
        <v>₹ 42,201</v>
      </c>
      <c r="I240" s="403" t="str">
        <f t="shared" ca="1" si="11"/>
        <v>D010E04034.8</v>
      </c>
      <c r="J240" s="258" t="str">
        <f t="shared" si="12"/>
        <v xml:space="preserve"> 18 Jun 2015</v>
      </c>
    </row>
    <row r="241" spans="2:10">
      <c r="B241" s="257">
        <f t="shared" ca="1" si="5"/>
        <v>39.6</v>
      </c>
      <c r="C241" s="1" t="str">
        <f t="shared" si="6"/>
        <v xml:space="preserve">Mark </v>
      </c>
      <c r="D241" s="1" t="str">
        <f t="shared" si="13"/>
        <v xml:space="preserve">Steven </v>
      </c>
      <c r="E241" s="1" t="str">
        <f t="shared" si="7"/>
        <v>Reed</v>
      </c>
      <c r="F241" s="1" t="str">
        <f t="shared" si="8"/>
        <v>Mark Steven Reed</v>
      </c>
      <c r="G241" s="1" t="str">
        <f t="shared" si="9"/>
        <v>₹ 46,000</v>
      </c>
      <c r="H241" s="1" t="str">
        <f t="shared" si="10"/>
        <v>₹ 46,000</v>
      </c>
      <c r="I241" s="403" t="str">
        <f t="shared" ca="1" si="11"/>
        <v>D001E04139.6</v>
      </c>
      <c r="J241" s="258" t="str">
        <f t="shared" si="12"/>
        <v xml:space="preserve"> 14 Feb 2010</v>
      </c>
    </row>
    <row r="242" spans="2:10">
      <c r="B242" s="257">
        <f t="shared" ca="1" si="5"/>
        <v>32.300000000000004</v>
      </c>
      <c r="C242" s="1" t="str">
        <f t="shared" si="6"/>
        <v xml:space="preserve">Cynthia </v>
      </c>
      <c r="D242" s="1" t="str">
        <f t="shared" si="13"/>
        <v xml:space="preserve">Marie </v>
      </c>
      <c r="E242" s="1" t="str">
        <f t="shared" si="7"/>
        <v>Cook</v>
      </c>
      <c r="F242" s="1" t="str">
        <f t="shared" si="8"/>
        <v>Cynthia Marie Cook</v>
      </c>
      <c r="G242" s="1" t="str">
        <f t="shared" si="9"/>
        <v>₹ 41,501</v>
      </c>
      <c r="H242" s="1" t="str">
        <f t="shared" si="10"/>
        <v>₹ 41,501</v>
      </c>
      <c r="I242" s="403" t="str">
        <f t="shared" ca="1" si="11"/>
        <v>D002E04232.3</v>
      </c>
      <c r="J242" s="258" t="str">
        <f t="shared" si="12"/>
        <v xml:space="preserve"> 23 Aug 2013</v>
      </c>
    </row>
    <row r="243" spans="2:10">
      <c r="B243" s="257">
        <f t="shared" ca="1" si="5"/>
        <v>42</v>
      </c>
      <c r="C243" s="1" t="str">
        <f t="shared" si="6"/>
        <v xml:space="preserve">Anthony </v>
      </c>
      <c r="D243" s="1" t="str">
        <f t="shared" si="13"/>
        <v xml:space="preserve">David </v>
      </c>
      <c r="E243" s="1" t="str">
        <f t="shared" si="7"/>
        <v>Morgan</v>
      </c>
      <c r="F243" s="1" t="str">
        <f t="shared" si="8"/>
        <v>Anthony David Morgan</v>
      </c>
      <c r="G243" s="1" t="str">
        <f t="shared" si="9"/>
        <v>₹ 49,001</v>
      </c>
      <c r="H243" s="1" t="str">
        <f t="shared" si="10"/>
        <v>₹ 49,001</v>
      </c>
      <c r="I243" s="403" t="str">
        <f t="shared" ca="1" si="11"/>
        <v>D003E04342</v>
      </c>
      <c r="J243" s="258" t="str">
        <f t="shared" si="12"/>
        <v xml:space="preserve"> 18 Oct 2008</v>
      </c>
    </row>
    <row r="244" spans="2:10">
      <c r="B244" s="257">
        <f t="shared" ca="1" si="5"/>
        <v>37.4</v>
      </c>
      <c r="C244" s="1" t="str">
        <f t="shared" si="6"/>
        <v xml:space="preserve">Karen </v>
      </c>
      <c r="D244" s="1" t="str">
        <f t="shared" si="13"/>
        <v xml:space="preserve">Ann </v>
      </c>
      <c r="E244" s="1" t="str">
        <f t="shared" si="7"/>
        <v>Bell</v>
      </c>
      <c r="F244" s="1" t="str">
        <f t="shared" si="8"/>
        <v>Karen Ann Bell</v>
      </c>
      <c r="G244" s="1" t="str">
        <f t="shared" si="9"/>
        <v>₹ 45,001</v>
      </c>
      <c r="H244" s="1" t="str">
        <f t="shared" si="10"/>
        <v>₹ 45,001</v>
      </c>
      <c r="I244" s="403" t="str">
        <f t="shared" ca="1" si="11"/>
        <v>D004E04437.4</v>
      </c>
      <c r="J244" s="258" t="str">
        <f t="shared" si="12"/>
        <v xml:space="preserve"> 22 Dec 2011</v>
      </c>
    </row>
    <row r="245" spans="2:10">
      <c r="B245" s="257">
        <f t="shared" ca="1" si="5"/>
        <v>46.300000000000004</v>
      </c>
      <c r="C245" s="1" t="str">
        <f t="shared" si="6"/>
        <v xml:space="preserve">Timothy </v>
      </c>
      <c r="D245" s="1" t="str">
        <f t="shared" si="13"/>
        <v xml:space="preserve">John </v>
      </c>
      <c r="E245" s="1" t="str">
        <f t="shared" si="7"/>
        <v>Murphy</v>
      </c>
      <c r="F245" s="1" t="str">
        <f t="shared" si="8"/>
        <v>Timothy John Murphy</v>
      </c>
      <c r="G245" s="1" t="str">
        <f t="shared" si="9"/>
        <v>₹ 54,500</v>
      </c>
      <c r="H245" s="1" t="str">
        <f t="shared" si="10"/>
        <v>₹ 54,500</v>
      </c>
      <c r="I245" s="403" t="str">
        <f t="shared" ca="1" si="11"/>
        <v>D005E04546.3</v>
      </c>
      <c r="J245" s="258" t="str">
        <f t="shared" si="12"/>
        <v xml:space="preserve"> 11 Sep 2006</v>
      </c>
    </row>
    <row r="246" spans="2:10">
      <c r="B246" s="257">
        <f t="shared" ca="1" si="5"/>
        <v>30.700000000000003</v>
      </c>
      <c r="C246" s="1" t="str">
        <f t="shared" si="6"/>
        <v xml:space="preserve">Stephanie </v>
      </c>
      <c r="D246" s="1" t="str">
        <f t="shared" si="13"/>
        <v xml:space="preserve">Marie </v>
      </c>
      <c r="E246" s="1" t="str">
        <f t="shared" si="7"/>
        <v>Bailey</v>
      </c>
      <c r="F246" s="1" t="str">
        <f t="shared" si="8"/>
        <v>Stephanie Marie Bailey</v>
      </c>
      <c r="G246" s="1" t="str">
        <f t="shared" si="9"/>
        <v>₹ 37,801</v>
      </c>
      <c r="H246" s="1" t="str">
        <f t="shared" si="10"/>
        <v>₹ 37,801</v>
      </c>
      <c r="I246" s="403" t="str">
        <f t="shared" ca="1" si="11"/>
        <v>D006E04630.7</v>
      </c>
      <c r="J246" s="258" t="str">
        <f t="shared" si="12"/>
        <v xml:space="preserve"> 12 May 2015</v>
      </c>
    </row>
    <row r="247" spans="2:10">
      <c r="B247" s="257">
        <f t="shared" ca="1" si="5"/>
        <v>43.2</v>
      </c>
      <c r="C247" s="1" t="str">
        <f t="shared" si="6"/>
        <v xml:space="preserve">Jason </v>
      </c>
      <c r="D247" s="1" t="str">
        <f t="shared" si="13"/>
        <v xml:space="preserve">Robert </v>
      </c>
      <c r="E247" s="1" t="str">
        <f t="shared" si="7"/>
        <v>Rivera</v>
      </c>
      <c r="F247" s="1" t="str">
        <f t="shared" si="8"/>
        <v>Jason Robert Rivera</v>
      </c>
      <c r="G247" s="1" t="str">
        <f t="shared" si="9"/>
        <v>₹ 50,000</v>
      </c>
      <c r="H247" s="1" t="str">
        <f t="shared" si="10"/>
        <v>₹ 50,000</v>
      </c>
      <c r="I247" s="403" t="str">
        <f t="shared" ca="1" si="11"/>
        <v>D007E04743.2</v>
      </c>
      <c r="J247" s="258" t="str">
        <f t="shared" si="12"/>
        <v xml:space="preserve"> 25 Aug 2009</v>
      </c>
    </row>
    <row r="248" spans="2:10">
      <c r="B248" s="257">
        <f t="shared" ca="1" si="5"/>
        <v>30.1</v>
      </c>
      <c r="C248" s="1" t="str">
        <f t="shared" si="6"/>
        <v xml:space="preserve">Amanda </v>
      </c>
      <c r="D248" s="1" t="str">
        <f t="shared" si="13"/>
        <v xml:space="preserve">Ann </v>
      </c>
      <c r="E248" s="1" t="str">
        <f t="shared" si="7"/>
        <v>Cooper</v>
      </c>
      <c r="F248" s="1" t="str">
        <f t="shared" si="8"/>
        <v>Amanda Ann Cooper</v>
      </c>
      <c r="G248" s="1" t="str">
        <f t="shared" si="9"/>
        <v>₹ 43,001</v>
      </c>
      <c r="H248" s="1" t="str">
        <f t="shared" si="10"/>
        <v>₹ 43,001</v>
      </c>
      <c r="I248" s="403" t="str">
        <f t="shared" ca="1" si="11"/>
        <v>D008E04830.1</v>
      </c>
      <c r="J248" s="258" t="str">
        <f t="shared" si="12"/>
        <v xml:space="preserve"> 30 Sep 2016</v>
      </c>
    </row>
    <row r="249" spans="2:10">
      <c r="B249" s="257">
        <f t="shared" ca="1" si="5"/>
        <v>38.5</v>
      </c>
      <c r="C249" s="1" t="str">
        <f t="shared" si="6"/>
        <v xml:space="preserve">Ryan </v>
      </c>
      <c r="D249" s="1" t="str">
        <f t="shared" si="13"/>
        <v xml:space="preserve">David </v>
      </c>
      <c r="E249" s="1" t="str">
        <f t="shared" si="7"/>
        <v>Richardson</v>
      </c>
      <c r="F249" s="1" t="str">
        <f t="shared" si="8"/>
        <v>Ryan David Richardson</v>
      </c>
      <c r="G249" s="1" t="str">
        <f t="shared" si="9"/>
        <v>₹ 48,001</v>
      </c>
      <c r="H249" s="1" t="str">
        <f t="shared" si="10"/>
        <v>₹ 48,001</v>
      </c>
      <c r="I249" s="403" t="str">
        <f t="shared" ca="1" si="11"/>
        <v>D009E04938.5</v>
      </c>
      <c r="J249" s="258" t="str">
        <f t="shared" si="12"/>
        <v xml:space="preserve"> 28 Jul 2010</v>
      </c>
    </row>
    <row r="250" spans="2:10">
      <c r="B250" s="257">
        <f t="shared" ca="1" si="5"/>
        <v>41</v>
      </c>
      <c r="C250" s="1" t="str">
        <f t="shared" si="6"/>
        <v xml:space="preserve">Deborah </v>
      </c>
      <c r="D250" s="1" t="str">
        <f t="shared" si="13"/>
        <v xml:space="preserve">Marie </v>
      </c>
      <c r="E250" s="1" t="str">
        <f t="shared" si="7"/>
        <v>Cox</v>
      </c>
      <c r="F250" s="1" t="str">
        <f t="shared" si="8"/>
        <v>Deborah Marie Cox</v>
      </c>
      <c r="G250" s="1" t="str">
        <f t="shared" si="9"/>
        <v>₹ 42,001</v>
      </c>
      <c r="H250" s="1" t="str">
        <f t="shared" si="10"/>
        <v>₹ 42,001</v>
      </c>
      <c r="I250" s="403" t="str">
        <f t="shared" ca="1" si="11"/>
        <v>D010E05041</v>
      </c>
      <c r="J250" s="258" t="str">
        <f t="shared" si="12"/>
        <v xml:space="preserve"> 15 Jun 2009</v>
      </c>
    </row>
    <row r="251" spans="2:10">
      <c r="B251" s="257">
        <f t="shared" ca="1" si="5"/>
        <v>37.800000000000004</v>
      </c>
      <c r="C251" s="1" t="str">
        <f t="shared" si="6"/>
        <v xml:space="preserve">Edward </v>
      </c>
      <c r="D251" s="1" t="str">
        <f t="shared" si="13"/>
        <v xml:space="preserve">Thomas </v>
      </c>
      <c r="E251" s="1" t="str">
        <f t="shared" si="7"/>
        <v>Howard</v>
      </c>
      <c r="F251" s="1" t="str">
        <f t="shared" si="8"/>
        <v>Edward Thomas Howard</v>
      </c>
      <c r="G251" s="1" t="str">
        <f t="shared" si="9"/>
        <v>₹ 50,000</v>
      </c>
      <c r="H251" s="1" t="str">
        <f t="shared" si="10"/>
        <v>₹ 50,000</v>
      </c>
      <c r="I251" s="403" t="str">
        <f t="shared" ca="1" si="11"/>
        <v>D001E05137.8</v>
      </c>
      <c r="J251" s="258" t="str">
        <f t="shared" si="12"/>
        <v xml:space="preserve"> 05 Sep 2012</v>
      </c>
    </row>
    <row r="252" spans="2:10">
      <c r="B252" s="257">
        <f t="shared" ca="1" si="5"/>
        <v>33.4</v>
      </c>
      <c r="C252" s="1" t="str">
        <f t="shared" si="6"/>
        <v xml:space="preserve">Michelle </v>
      </c>
      <c r="D252" s="1" t="str">
        <f t="shared" si="13"/>
        <v xml:space="preserve">Lynn </v>
      </c>
      <c r="E252" s="1" t="str">
        <f t="shared" si="7"/>
        <v>Ward</v>
      </c>
      <c r="F252" s="1" t="str">
        <f t="shared" si="8"/>
        <v>Michelle Lynn Ward</v>
      </c>
      <c r="G252" s="1" t="str">
        <f t="shared" si="9"/>
        <v>₹ 44,001</v>
      </c>
      <c r="H252" s="1" t="str">
        <f t="shared" si="10"/>
        <v>₹ 44,001</v>
      </c>
      <c r="I252" s="403" t="str">
        <f t="shared" ca="1" si="11"/>
        <v>D002E05233.4</v>
      </c>
      <c r="J252" s="258" t="str">
        <f t="shared" si="12"/>
        <v xml:space="preserve"> 20 Jul 2013</v>
      </c>
    </row>
    <row r="253" spans="2:10">
      <c r="B253" s="257">
        <f t="shared" ca="1" si="5"/>
        <v>48.5</v>
      </c>
      <c r="C253" s="1" t="str">
        <f t="shared" si="6"/>
        <v xml:space="preserve">Thomas </v>
      </c>
      <c r="D253" s="1" t="str">
        <f t="shared" si="13"/>
        <v xml:space="preserve">John </v>
      </c>
      <c r="E253" s="1" t="str">
        <f t="shared" si="7"/>
        <v>Torres</v>
      </c>
      <c r="F253" s="1" t="str">
        <f t="shared" si="8"/>
        <v>Thomas John Torres</v>
      </c>
      <c r="G253" s="1" t="str">
        <f t="shared" si="9"/>
        <v>₹ 52,001</v>
      </c>
      <c r="H253" s="1" t="str">
        <f t="shared" si="10"/>
        <v>₹ 52,001</v>
      </c>
      <c r="I253" s="403" t="str">
        <f t="shared" ca="1" si="11"/>
        <v>D003E05348.5</v>
      </c>
      <c r="J253" s="258" t="str">
        <f t="shared" si="12"/>
        <v xml:space="preserve"> 25 May 2005</v>
      </c>
    </row>
    <row r="254" spans="2:10">
      <c r="B254" s="257">
        <f t="shared" ca="1" si="5"/>
        <v>32.9</v>
      </c>
      <c r="C254" s="1" t="str">
        <f t="shared" si="6"/>
        <v xml:space="preserve">Mary </v>
      </c>
      <c r="D254" s="1" t="str">
        <f t="shared" si="13"/>
        <v xml:space="preserve">Elizabeth </v>
      </c>
      <c r="E254" s="1" t="str">
        <f t="shared" si="7"/>
        <v>Peterson</v>
      </c>
      <c r="F254" s="1" t="str">
        <f t="shared" si="8"/>
        <v>Mary Elizabeth Peterson</v>
      </c>
      <c r="G254" s="1" t="str">
        <f t="shared" si="9"/>
        <v>₹ 42,800</v>
      </c>
      <c r="H254" s="1" t="str">
        <f t="shared" si="10"/>
        <v>₹ 42,800</v>
      </c>
      <c r="I254" s="403" t="str">
        <f t="shared" ca="1" si="11"/>
        <v>D004E05432.9</v>
      </c>
      <c r="J254" s="258" t="str">
        <f t="shared" si="12"/>
        <v xml:space="preserve"> 19 Oct 2014</v>
      </c>
    </row>
    <row r="255" spans="2:10">
      <c r="B255" s="257">
        <f t="shared" ca="1" si="5"/>
        <v>41.6</v>
      </c>
      <c r="C255" s="1" t="str">
        <f t="shared" si="6"/>
        <v xml:space="preserve">Christopher </v>
      </c>
      <c r="D255" s="1" t="str">
        <f t="shared" si="13"/>
        <v xml:space="preserve">John </v>
      </c>
      <c r="E255" s="1" t="str">
        <f t="shared" si="7"/>
        <v>Gray</v>
      </c>
      <c r="F255" s="1" t="str">
        <f t="shared" si="8"/>
        <v>Christopher John Gray</v>
      </c>
      <c r="G255" s="1" t="str">
        <f t="shared" si="9"/>
        <v>₹ 49,001</v>
      </c>
      <c r="H255" s="1" t="str">
        <f t="shared" si="10"/>
        <v>₹ 49,001</v>
      </c>
      <c r="I255" s="403" t="str">
        <f t="shared" ca="1" si="11"/>
        <v>D005E05541.6</v>
      </c>
      <c r="J255" s="258" t="str">
        <f t="shared" si="12"/>
        <v xml:space="preserve"> 20 Jan 2008</v>
      </c>
    </row>
    <row r="256" spans="2:10">
      <c r="B256" s="257">
        <f t="shared" ca="1" si="5"/>
        <v>38.300000000000004</v>
      </c>
      <c r="C256" s="1" t="str">
        <f t="shared" si="6"/>
        <v xml:space="preserve">Linda </v>
      </c>
      <c r="D256" s="1" t="str">
        <f t="shared" si="13"/>
        <v xml:space="preserve">Ann </v>
      </c>
      <c r="E256" s="1" t="str">
        <f t="shared" si="7"/>
        <v>Ramirez</v>
      </c>
      <c r="F256" s="1" t="str">
        <f t="shared" si="8"/>
        <v>Linda Ann Ramirez</v>
      </c>
      <c r="G256" s="1" t="str">
        <f t="shared" si="9"/>
        <v>₹ 46,501</v>
      </c>
      <c r="H256" s="1" t="str">
        <f t="shared" si="10"/>
        <v>₹ 46,501</v>
      </c>
      <c r="I256" s="403" t="str">
        <f t="shared" ca="1" si="11"/>
        <v>D006E05638.3</v>
      </c>
      <c r="J256" s="258" t="str">
        <f t="shared" si="12"/>
        <v xml:space="preserve"> 12 Mar 2011</v>
      </c>
    </row>
    <row r="257" spans="2:10">
      <c r="B257" s="257">
        <f t="shared" ca="1" si="5"/>
        <v>44.800000000000004</v>
      </c>
      <c r="C257" s="1" t="str">
        <f t="shared" si="6"/>
        <v xml:space="preserve">Richard </v>
      </c>
      <c r="D257" s="1" t="str">
        <f t="shared" si="13"/>
        <v xml:space="preserve">David </v>
      </c>
      <c r="E257" s="1" t="str">
        <f t="shared" si="7"/>
        <v>James</v>
      </c>
      <c r="F257" s="1" t="str">
        <f t="shared" si="8"/>
        <v>Richard David James</v>
      </c>
      <c r="G257" s="1" t="str">
        <f t="shared" si="9"/>
        <v>₹ 50,001</v>
      </c>
      <c r="H257" s="1" t="str">
        <f t="shared" si="10"/>
        <v>₹ 50,001</v>
      </c>
      <c r="I257" s="403" t="str">
        <f t="shared" ca="1" si="11"/>
        <v>D007E05744.8</v>
      </c>
      <c r="J257" s="258" t="str">
        <f t="shared" si="12"/>
        <v xml:space="preserve"> 17 Feb 2007</v>
      </c>
    </row>
    <row r="258" spans="2:10">
      <c r="B258" s="257">
        <f t="shared" ca="1" si="5"/>
        <v>31.700000000000003</v>
      </c>
      <c r="C258" s="1" t="str">
        <f t="shared" si="6"/>
        <v xml:space="preserve">Susan </v>
      </c>
      <c r="D258" s="1" t="str">
        <f t="shared" si="13"/>
        <v xml:space="preserve">Marie </v>
      </c>
      <c r="E258" s="1" t="str">
        <f t="shared" si="7"/>
        <v>Brooks</v>
      </c>
      <c r="F258" s="1" t="str">
        <f t="shared" si="8"/>
        <v>Susan Marie Brooks</v>
      </c>
      <c r="G258" s="1" t="str">
        <f t="shared" si="9"/>
        <v>₹ 40,200</v>
      </c>
      <c r="H258" s="1" t="str">
        <f t="shared" si="10"/>
        <v>₹ 40,200</v>
      </c>
      <c r="I258" s="403" t="str">
        <f t="shared" ca="1" si="11"/>
        <v>D008E05831.7</v>
      </c>
      <c r="J258" s="258" t="str">
        <f t="shared" si="12"/>
        <v xml:space="preserve"> 25 Jun 2015</v>
      </c>
    </row>
    <row r="259" spans="2:10">
      <c r="B259" s="257">
        <f t="shared" ca="1" si="5"/>
        <v>44</v>
      </c>
      <c r="C259" s="1" t="str">
        <f t="shared" si="6"/>
        <v xml:space="preserve">Robert </v>
      </c>
      <c r="D259" s="1" t="str">
        <f t="shared" si="13"/>
        <v xml:space="preserve">Thomas </v>
      </c>
      <c r="E259" s="1" t="str">
        <f t="shared" si="7"/>
        <v>Powell</v>
      </c>
      <c r="F259" s="1" t="str">
        <f t="shared" si="8"/>
        <v>Robert Thomas Powell</v>
      </c>
      <c r="G259" s="1" t="str">
        <f t="shared" si="9"/>
        <v>₹ 53,501</v>
      </c>
      <c r="H259" s="1" t="str">
        <f t="shared" si="10"/>
        <v>₹ 53,501</v>
      </c>
      <c r="I259" s="403" t="str">
        <f t="shared" ca="1" si="11"/>
        <v>D009E05944</v>
      </c>
      <c r="J259" s="258" t="str">
        <f t="shared" si="12"/>
        <v xml:space="preserve"> 28 Aug 2008</v>
      </c>
    </row>
    <row r="260" spans="2:10">
      <c r="B260" s="257">
        <f t="shared" ca="1" si="5"/>
        <v>39.5</v>
      </c>
      <c r="C260" s="1" t="str">
        <f t="shared" si="6"/>
        <v xml:space="preserve">Karen </v>
      </c>
      <c r="D260" s="1" t="str">
        <f t="shared" si="13"/>
        <v xml:space="preserve">Ann </v>
      </c>
      <c r="E260" s="1" t="str">
        <f t="shared" si="7"/>
        <v>Long</v>
      </c>
      <c r="F260" s="1" t="str">
        <f t="shared" si="8"/>
        <v>Karen Ann Long</v>
      </c>
      <c r="G260" s="1" t="str">
        <f t="shared" si="9"/>
        <v>₹ 42,000</v>
      </c>
      <c r="H260" s="1" t="str">
        <f t="shared" si="10"/>
        <v>₹ 42,000</v>
      </c>
      <c r="I260" s="403" t="str">
        <f t="shared" ca="1" si="11"/>
        <v>D010E06039.5</v>
      </c>
      <c r="J260" s="258" t="str">
        <f t="shared" si="12"/>
        <v xml:space="preserve"> 21 Oct 2010</v>
      </c>
    </row>
    <row r="261" spans="2:10">
      <c r="B261" s="257">
        <f t="shared" ca="1" si="5"/>
        <v>32.300000000000004</v>
      </c>
      <c r="C261" s="1" t="str">
        <f t="shared" si="6"/>
        <v xml:space="preserve">Mark </v>
      </c>
      <c r="D261" s="1" t="str">
        <f t="shared" si="13"/>
        <v xml:space="preserve">Anthony </v>
      </c>
      <c r="E261" s="1" t="str">
        <f t="shared" si="7"/>
        <v>Patterson</v>
      </c>
      <c r="F261" s="1" t="str">
        <f t="shared" si="8"/>
        <v>Mark Anthony Patterson</v>
      </c>
      <c r="G261" s="1" t="str">
        <f t="shared" si="9"/>
        <v>₹ 47,001</v>
      </c>
      <c r="H261" s="1" t="str">
        <f t="shared" si="10"/>
        <v>₹ 47,001</v>
      </c>
      <c r="I261" s="403" t="str">
        <f t="shared" ca="1" si="11"/>
        <v>D001E06132.3</v>
      </c>
      <c r="J261" s="258" t="str">
        <f t="shared" si="12"/>
        <v xml:space="preserve"> 12 Sep 2013</v>
      </c>
    </row>
    <row r="262" spans="2:10">
      <c r="B262" s="257">
        <f t="shared" ca="1" si="5"/>
        <v>40.800000000000004</v>
      </c>
      <c r="C262" s="1" t="str">
        <f t="shared" si="6"/>
        <v xml:space="preserve">Laura </v>
      </c>
      <c r="D262" s="1" t="str">
        <f t="shared" si="13"/>
        <v xml:space="preserve">Marie </v>
      </c>
      <c r="E262" s="1" t="str">
        <f t="shared" si="7"/>
        <v>Hughes</v>
      </c>
      <c r="F262" s="1" t="str">
        <f t="shared" si="8"/>
        <v>Laura Marie Hughes</v>
      </c>
      <c r="G262" s="1" t="str">
        <f t="shared" si="9"/>
        <v>₹ 40,801</v>
      </c>
      <c r="H262" s="1" t="str">
        <f t="shared" si="10"/>
        <v>₹ 40,801</v>
      </c>
      <c r="I262" s="403" t="str">
        <f t="shared" ca="1" si="11"/>
        <v>D002E06240.8</v>
      </c>
      <c r="J262" s="258" t="str">
        <f t="shared" si="12"/>
        <v xml:space="preserve"> 15 Apr 2009</v>
      </c>
    </row>
    <row r="263" spans="2:10">
      <c r="B263" s="257">
        <f t="shared" ca="1" si="5"/>
        <v>37.200000000000003</v>
      </c>
      <c r="C263" s="1" t="str">
        <f t="shared" si="6"/>
        <v xml:space="preserve">James </v>
      </c>
      <c r="D263" s="1" t="str">
        <f t="shared" si="13"/>
        <v xml:space="preserve">Robert </v>
      </c>
      <c r="E263" s="1" t="str">
        <f t="shared" si="7"/>
        <v>Flores</v>
      </c>
      <c r="F263" s="1" t="str">
        <f t="shared" si="8"/>
        <v>James Robert Flores</v>
      </c>
      <c r="G263" s="1" t="str">
        <f t="shared" si="9"/>
        <v>₹ 45,001</v>
      </c>
      <c r="H263" s="1" t="str">
        <f t="shared" si="10"/>
        <v>₹ 45,001</v>
      </c>
      <c r="I263" s="403" t="str">
        <f t="shared" ca="1" si="11"/>
        <v>D003E06337.2</v>
      </c>
      <c r="J263" s="258" t="str">
        <f t="shared" si="12"/>
        <v xml:space="preserve"> 10 Jul 2011</v>
      </c>
    </row>
    <row r="264" spans="2:10">
      <c r="B264" s="257">
        <f t="shared" ca="1" si="5"/>
        <v>45.6</v>
      </c>
      <c r="C264" s="1" t="str">
        <f t="shared" si="6"/>
        <v xml:space="preserve">Patricia </v>
      </c>
      <c r="D264" s="1" t="str">
        <f t="shared" si="13"/>
        <v xml:space="preserve">Ann </v>
      </c>
      <c r="E264" s="1" t="str">
        <f t="shared" si="7"/>
        <v>Washington</v>
      </c>
      <c r="F264" s="1" t="str">
        <f t="shared" si="8"/>
        <v>Patricia Ann Washington</v>
      </c>
      <c r="G264" s="1" t="str">
        <f t="shared" si="9"/>
        <v>₹ 55,000</v>
      </c>
      <c r="H264" s="1" t="str">
        <f t="shared" si="10"/>
        <v>₹ 55,000</v>
      </c>
      <c r="I264" s="403" t="str">
        <f t="shared" ca="1" si="11"/>
        <v>D004E06445.6</v>
      </c>
      <c r="J264" s="258" t="str">
        <f t="shared" si="12"/>
        <v xml:space="preserve"> 16 Nov 2006</v>
      </c>
    </row>
    <row r="265" spans="2:10">
      <c r="B265" s="257">
        <f t="shared" ca="1" si="5"/>
        <v>33.700000000000003</v>
      </c>
      <c r="C265" s="1" t="str">
        <f t="shared" si="6"/>
        <v xml:space="preserve">Michael </v>
      </c>
      <c r="D265" s="1" t="str">
        <f t="shared" si="13"/>
        <v xml:space="preserve">James </v>
      </c>
      <c r="E265" s="1" t="str">
        <f t="shared" si="7"/>
        <v>Butler</v>
      </c>
      <c r="F265" s="1" t="str">
        <f t="shared" si="8"/>
        <v>Michael James Butler</v>
      </c>
      <c r="G265" s="1" t="str">
        <f t="shared" si="9"/>
        <v>₹ 42,801</v>
      </c>
      <c r="H265" s="1" t="str">
        <f t="shared" si="10"/>
        <v>₹ 42,801</v>
      </c>
      <c r="I265" s="403" t="str">
        <f t="shared" ca="1" si="11"/>
        <v>D005E06533.7</v>
      </c>
      <c r="J265" s="258" t="str">
        <f t="shared" si="12"/>
        <v xml:space="preserve"> 28 Mar 2015</v>
      </c>
    </row>
    <row r="266" spans="2:10">
      <c r="B266" s="257">
        <f t="shared" ref="B266:B300" ca="1" si="14">ROUNDUP((TODAY()-D163)/365.5,1)</f>
        <v>39.200000000000003</v>
      </c>
      <c r="C266" s="1" t="str">
        <f t="shared" ref="C266:C300" si="15">LEFT(C163,FIND(" ",C163))</f>
        <v xml:space="preserve">Jennifer </v>
      </c>
      <c r="D266" s="1" t="str">
        <f t="shared" ref="D266:D300" si="16">MID(C163,(FIND(" ",C163)+1),(FIND(" ",C163,FIND(" ",C163)+1))-(FIND(" ",C163)))</f>
        <v xml:space="preserve">Lynn </v>
      </c>
      <c r="E266" s="1" t="str">
        <f t="shared" ref="E266:E300" si="17">RIGHT(C163,LEN(C163)-FIND(" ", C163, FIND(" ", C163) + 1))</f>
        <v>Simmons</v>
      </c>
      <c r="F266" s="1" t="str">
        <f t="shared" ref="F266:F300" si="18">PROPER(C163)</f>
        <v>Jennifer Lynn Simmons</v>
      </c>
      <c r="G266" s="1" t="str">
        <f t="shared" ref="G266:G300" si="19">DOLLAR(E163,0)</f>
        <v>₹ 47,000</v>
      </c>
      <c r="H266" s="1" t="str">
        <f t="shared" ref="H266:H300" si="20">T(G266)</f>
        <v>₹ 47,000</v>
      </c>
      <c r="I266" s="403" t="str">
        <f t="shared" ref="I266:I300" ca="1" si="21">CONCATENATE(G163,B163,B266)</f>
        <v>D006E06639.2</v>
      </c>
      <c r="J266" s="258" t="str">
        <f t="shared" ref="J266:J300" si="22">TEXT(F163," dd mmm yyyy")</f>
        <v xml:space="preserve"> 29 Sep 2010</v>
      </c>
    </row>
    <row r="267" spans="2:10">
      <c r="B267" s="257">
        <f t="shared" ca="1" si="14"/>
        <v>42.9</v>
      </c>
      <c r="C267" s="1" t="str">
        <f t="shared" si="15"/>
        <v xml:space="preserve">William </v>
      </c>
      <c r="D267" s="1" t="str">
        <f t="shared" si="16"/>
        <v xml:space="preserve">Thomas </v>
      </c>
      <c r="E267" s="1" t="str">
        <f t="shared" si="17"/>
        <v>Foster</v>
      </c>
      <c r="F267" s="1" t="str">
        <f t="shared" si="18"/>
        <v>William Thomas Foster</v>
      </c>
      <c r="G267" s="1" t="str">
        <f t="shared" si="19"/>
        <v>₹ 52,001</v>
      </c>
      <c r="H267" s="1" t="str">
        <f t="shared" si="20"/>
        <v>₹ 52,001</v>
      </c>
      <c r="I267" s="403" t="str">
        <f t="shared" ca="1" si="21"/>
        <v>D007E06742.9</v>
      </c>
      <c r="J267" s="258" t="str">
        <f t="shared" si="22"/>
        <v xml:space="preserve"> 17 Nov 2008</v>
      </c>
    </row>
    <row r="268" spans="2:10">
      <c r="B268" s="257">
        <f t="shared" ca="1" si="14"/>
        <v>34.300000000000004</v>
      </c>
      <c r="C268" s="1" t="str">
        <f t="shared" si="15"/>
        <v xml:space="preserve">Karen </v>
      </c>
      <c r="D268" s="1" t="str">
        <f t="shared" si="16"/>
        <v xml:space="preserve">Elizabeth </v>
      </c>
      <c r="E268" s="1" t="str">
        <f t="shared" si="17"/>
        <v>Ross</v>
      </c>
      <c r="F268" s="1" t="str">
        <f t="shared" si="18"/>
        <v>Karen Elizabeth Ross</v>
      </c>
      <c r="G268" s="1" t="str">
        <f t="shared" si="19"/>
        <v>₹ 39,501</v>
      </c>
      <c r="H268" s="1" t="str">
        <f t="shared" si="20"/>
        <v>₹ 39,501</v>
      </c>
      <c r="I268" s="403" t="str">
        <f t="shared" ca="1" si="21"/>
        <v>D008E06834.3</v>
      </c>
      <c r="J268" s="258" t="str">
        <f t="shared" si="22"/>
        <v xml:space="preserve"> 22 Feb 2016</v>
      </c>
    </row>
    <row r="269" spans="2:10">
      <c r="B269" s="257">
        <f t="shared" ca="1" si="14"/>
        <v>39.4</v>
      </c>
      <c r="C269" s="1" t="str">
        <f t="shared" si="15"/>
        <v xml:space="preserve">Charles </v>
      </c>
      <c r="D269" s="1" t="str">
        <f t="shared" si="16"/>
        <v xml:space="preserve">John </v>
      </c>
      <c r="E269" s="1" t="str">
        <f t="shared" si="17"/>
        <v>Coleman</v>
      </c>
      <c r="F269" s="1" t="str">
        <f t="shared" si="18"/>
        <v>Charles John Coleman</v>
      </c>
      <c r="G269" s="1" t="str">
        <f t="shared" si="19"/>
        <v>₹ 50,001</v>
      </c>
      <c r="H269" s="1" t="str">
        <f t="shared" si="20"/>
        <v>₹ 50,001</v>
      </c>
      <c r="I269" s="403" t="str">
        <f t="shared" ca="1" si="21"/>
        <v>D009E06939.4</v>
      </c>
      <c r="J269" s="258" t="str">
        <f t="shared" si="22"/>
        <v xml:space="preserve"> 19 Mar 2010</v>
      </c>
    </row>
    <row r="270" spans="2:10">
      <c r="B270" s="257">
        <f t="shared" ca="1" si="14"/>
        <v>30.6</v>
      </c>
      <c r="C270" s="1" t="str">
        <f t="shared" si="15"/>
        <v xml:space="preserve">Jessica </v>
      </c>
      <c r="D270" s="1" t="str">
        <f t="shared" si="16"/>
        <v xml:space="preserve">Marie </v>
      </c>
      <c r="E270" s="1" t="str">
        <f t="shared" si="17"/>
        <v>Sanders</v>
      </c>
      <c r="F270" s="1" t="str">
        <f t="shared" si="18"/>
        <v>Jessica Marie Sanders</v>
      </c>
      <c r="G270" s="1" t="str">
        <f t="shared" si="19"/>
        <v>₹ 41,200</v>
      </c>
      <c r="H270" s="1" t="str">
        <f t="shared" si="20"/>
        <v>₹ 41,200</v>
      </c>
      <c r="I270" s="403" t="str">
        <f t="shared" ca="1" si="21"/>
        <v>D010E07030.6</v>
      </c>
      <c r="J270" s="258" t="str">
        <f t="shared" si="22"/>
        <v xml:space="preserve"> 14 Jul 2016</v>
      </c>
    </row>
    <row r="271" spans="2:10">
      <c r="B271" s="257">
        <f t="shared" ca="1" si="14"/>
        <v>41.800000000000004</v>
      </c>
      <c r="C271" s="1" t="str">
        <f t="shared" si="15"/>
        <v xml:space="preserve">Daniel </v>
      </c>
      <c r="D271" s="1" t="str">
        <f t="shared" si="16"/>
        <v xml:space="preserve">Scott </v>
      </c>
      <c r="E271" s="1" t="str">
        <f t="shared" si="17"/>
        <v>Price</v>
      </c>
      <c r="F271" s="1" t="str">
        <f t="shared" si="18"/>
        <v>Daniel Scott Price</v>
      </c>
      <c r="G271" s="1" t="str">
        <f t="shared" si="19"/>
        <v>₹ 46,501</v>
      </c>
      <c r="H271" s="1" t="str">
        <f t="shared" si="20"/>
        <v>₹ 46,501</v>
      </c>
      <c r="I271" s="403" t="str">
        <f t="shared" ca="1" si="21"/>
        <v>D001E07141.8</v>
      </c>
      <c r="J271" s="258" t="str">
        <f t="shared" si="22"/>
        <v xml:space="preserve"> 12 Jun 2008</v>
      </c>
    </row>
    <row r="272" spans="2:10">
      <c r="B272" s="257">
        <f t="shared" ca="1" si="14"/>
        <v>37.5</v>
      </c>
      <c r="C272" s="1" t="str">
        <f t="shared" si="15"/>
        <v xml:space="preserve">Laura </v>
      </c>
      <c r="D272" s="1" t="str">
        <f t="shared" si="16"/>
        <v xml:space="preserve">Ann </v>
      </c>
      <c r="E272" s="1" t="str">
        <f t="shared" si="17"/>
        <v>Bennett</v>
      </c>
      <c r="F272" s="1" t="str">
        <f t="shared" si="18"/>
        <v>Laura Ann Bennett</v>
      </c>
      <c r="G272" s="1" t="str">
        <f t="shared" si="19"/>
        <v>₹ 42,800</v>
      </c>
      <c r="H272" s="1" t="str">
        <f t="shared" si="20"/>
        <v>₹ 42,800</v>
      </c>
      <c r="I272" s="403" t="str">
        <f t="shared" ca="1" si="21"/>
        <v>D002E07237.5</v>
      </c>
      <c r="J272" s="258" t="str">
        <f t="shared" si="22"/>
        <v xml:space="preserve"> 25 Apr 2011</v>
      </c>
    </row>
    <row r="273" spans="2:10">
      <c r="B273" s="257">
        <f t="shared" ca="1" si="14"/>
        <v>43.300000000000004</v>
      </c>
      <c r="C273" s="1" t="str">
        <f t="shared" si="15"/>
        <v xml:space="preserve">Kevin </v>
      </c>
      <c r="D273" s="1" t="str">
        <f t="shared" si="16"/>
        <v xml:space="preserve">Robert </v>
      </c>
      <c r="E273" s="1" t="str">
        <f t="shared" si="17"/>
        <v>Wood</v>
      </c>
      <c r="F273" s="1" t="str">
        <f t="shared" si="18"/>
        <v>Kevin Robert Wood</v>
      </c>
      <c r="G273" s="1" t="str">
        <f t="shared" si="19"/>
        <v>₹ 49,001</v>
      </c>
      <c r="H273" s="1" t="str">
        <f t="shared" si="20"/>
        <v>₹ 49,001</v>
      </c>
      <c r="I273" s="403" t="str">
        <f t="shared" ca="1" si="21"/>
        <v>D003E07343.3</v>
      </c>
      <c r="J273" s="258" t="str">
        <f t="shared" si="22"/>
        <v xml:space="preserve"> 05 Nov 2009</v>
      </c>
    </row>
    <row r="274" spans="2:10">
      <c r="B274" s="257">
        <f t="shared" ca="1" si="14"/>
        <v>39.700000000000003</v>
      </c>
      <c r="C274" s="1" t="str">
        <f t="shared" si="15"/>
        <v xml:space="preserve">Mary </v>
      </c>
      <c r="D274" s="1" t="str">
        <f t="shared" si="16"/>
        <v xml:space="preserve">Elizabeth </v>
      </c>
      <c r="E274" s="1" t="str">
        <f t="shared" si="17"/>
        <v>Barnes</v>
      </c>
      <c r="F274" s="1" t="str">
        <f t="shared" si="18"/>
        <v>Mary Elizabeth Barnes</v>
      </c>
      <c r="G274" s="1" t="str">
        <f t="shared" si="19"/>
        <v>₹ 44,001</v>
      </c>
      <c r="H274" s="1" t="str">
        <f t="shared" si="20"/>
        <v>₹ 44,001</v>
      </c>
      <c r="I274" s="403" t="str">
        <f t="shared" ca="1" si="21"/>
        <v>D004E07439.7</v>
      </c>
      <c r="J274" s="258" t="str">
        <f t="shared" si="22"/>
        <v xml:space="preserve"> 15 Feb 2010</v>
      </c>
    </row>
    <row r="275" spans="2:10">
      <c r="B275" s="257">
        <f t="shared" ca="1" si="14"/>
        <v>43</v>
      </c>
      <c r="C275" s="1" t="str">
        <f t="shared" si="15"/>
        <v xml:space="preserve">Richard </v>
      </c>
      <c r="D275" s="1" t="str">
        <f t="shared" si="16"/>
        <v xml:space="preserve">David </v>
      </c>
      <c r="E275" s="1" t="str">
        <f t="shared" si="17"/>
        <v>Ross</v>
      </c>
      <c r="F275" s="1" t="str">
        <f t="shared" si="18"/>
        <v>Richard David Ross</v>
      </c>
      <c r="G275" s="1" t="str">
        <f t="shared" si="19"/>
        <v>₹ 54,501</v>
      </c>
      <c r="H275" s="1" t="str">
        <f t="shared" si="20"/>
        <v>₹ 54,501</v>
      </c>
      <c r="I275" s="403" t="str">
        <f t="shared" ca="1" si="21"/>
        <v>D005E07543</v>
      </c>
      <c r="J275" s="258" t="str">
        <f t="shared" si="22"/>
        <v xml:space="preserve"> 14 Aug 2007</v>
      </c>
    </row>
    <row r="276" spans="2:10">
      <c r="B276" s="257">
        <f t="shared" ca="1" si="14"/>
        <v>33.800000000000004</v>
      </c>
      <c r="C276" s="1" t="str">
        <f t="shared" si="15"/>
        <v xml:space="preserve">Lisa </v>
      </c>
      <c r="D276" s="1" t="str">
        <f t="shared" si="16"/>
        <v xml:space="preserve">Marie </v>
      </c>
      <c r="E276" s="1" t="str">
        <f t="shared" si="17"/>
        <v>Henderson</v>
      </c>
      <c r="F276" s="1" t="str">
        <f t="shared" si="18"/>
        <v>Lisa Marie Henderson</v>
      </c>
      <c r="G276" s="1" t="str">
        <f t="shared" si="19"/>
        <v>₹ 37,500</v>
      </c>
      <c r="H276" s="1" t="str">
        <f t="shared" si="20"/>
        <v>₹ 37,500</v>
      </c>
      <c r="I276" s="403" t="str">
        <f t="shared" ca="1" si="21"/>
        <v>D006E07633.8</v>
      </c>
      <c r="J276" s="258" t="str">
        <f t="shared" si="22"/>
        <v xml:space="preserve"> 11 May 2014</v>
      </c>
    </row>
    <row r="277" spans="2:10">
      <c r="B277" s="257">
        <f t="shared" ca="1" si="14"/>
        <v>44.6</v>
      </c>
      <c r="C277" s="1" t="str">
        <f t="shared" si="15"/>
        <v xml:space="preserve">Brian </v>
      </c>
      <c r="D277" s="1" t="str">
        <f t="shared" si="16"/>
        <v xml:space="preserve">Anthony </v>
      </c>
      <c r="E277" s="1" t="str">
        <f t="shared" si="17"/>
        <v>Coleman</v>
      </c>
      <c r="F277" s="1" t="str">
        <f t="shared" si="18"/>
        <v>Brian Anthony Coleman</v>
      </c>
      <c r="G277" s="1" t="str">
        <f t="shared" si="19"/>
        <v>₹ 50,001</v>
      </c>
      <c r="H277" s="1" t="str">
        <f t="shared" si="20"/>
        <v>₹ 50,001</v>
      </c>
      <c r="I277" s="403" t="str">
        <f t="shared" ca="1" si="21"/>
        <v>D007E07744.6</v>
      </c>
      <c r="J277" s="258" t="str">
        <f t="shared" si="22"/>
        <v xml:space="preserve"> 22 Jan 2008</v>
      </c>
    </row>
    <row r="278" spans="2:10">
      <c r="B278" s="257">
        <f t="shared" ca="1" si="14"/>
        <v>31.900000000000002</v>
      </c>
      <c r="C278" s="1" t="str">
        <f t="shared" si="15"/>
        <v xml:space="preserve">Karen </v>
      </c>
      <c r="D278" s="1" t="str">
        <f t="shared" si="16"/>
        <v xml:space="preserve">Ann </v>
      </c>
      <c r="E278" s="1" t="str">
        <f t="shared" si="17"/>
        <v>Patterson</v>
      </c>
      <c r="F278" s="1" t="str">
        <f t="shared" si="18"/>
        <v>Karen Ann Patterson</v>
      </c>
      <c r="G278" s="1" t="str">
        <f t="shared" si="19"/>
        <v>₹ 42,001</v>
      </c>
      <c r="H278" s="1" t="str">
        <f t="shared" si="20"/>
        <v>₹ 42,001</v>
      </c>
      <c r="I278" s="403" t="str">
        <f t="shared" ca="1" si="21"/>
        <v>D008E07831.9</v>
      </c>
      <c r="J278" s="258" t="str">
        <f t="shared" si="22"/>
        <v xml:space="preserve"> 28 Oct 2015</v>
      </c>
    </row>
    <row r="279" spans="2:10">
      <c r="B279" s="257">
        <f t="shared" ca="1" si="14"/>
        <v>43.2</v>
      </c>
      <c r="C279" s="1" t="str">
        <f t="shared" si="15"/>
        <v xml:space="preserve">Edward </v>
      </c>
      <c r="D279" s="1" t="str">
        <f t="shared" si="16"/>
        <v xml:space="preserve">John </v>
      </c>
      <c r="E279" s="1" t="str">
        <f t="shared" si="17"/>
        <v>Howard</v>
      </c>
      <c r="F279" s="1" t="str">
        <f t="shared" si="18"/>
        <v>Edward John Howard</v>
      </c>
      <c r="G279" s="1" t="str">
        <f t="shared" si="19"/>
        <v>₹ 53,801</v>
      </c>
      <c r="H279" s="1" t="str">
        <f t="shared" si="20"/>
        <v>₹ 53,801</v>
      </c>
      <c r="I279" s="403" t="str">
        <f t="shared" ca="1" si="21"/>
        <v>D009E07943.2</v>
      </c>
      <c r="J279" s="258" t="str">
        <f t="shared" si="22"/>
        <v xml:space="preserve"> 16 Feb 2009</v>
      </c>
    </row>
    <row r="280" spans="2:10">
      <c r="B280" s="257">
        <f t="shared" ca="1" si="14"/>
        <v>34.300000000000004</v>
      </c>
      <c r="C280" s="1" t="str">
        <f t="shared" si="15"/>
        <v xml:space="preserve">Michelle </v>
      </c>
      <c r="D280" s="1" t="str">
        <f t="shared" si="16"/>
        <v xml:space="preserve">Lynn </v>
      </c>
      <c r="E280" s="1" t="str">
        <f t="shared" si="17"/>
        <v>Rogers</v>
      </c>
      <c r="F280" s="1" t="str">
        <f t="shared" si="18"/>
        <v>Michelle Lynn Rogers</v>
      </c>
      <c r="G280" s="1" t="str">
        <f t="shared" si="19"/>
        <v>₹ 39,001</v>
      </c>
      <c r="H280" s="1" t="str">
        <f t="shared" si="20"/>
        <v>₹ 39,001</v>
      </c>
      <c r="I280" s="403" t="str">
        <f t="shared" ca="1" si="21"/>
        <v>D010E08034.3</v>
      </c>
      <c r="J280" s="258" t="str">
        <f t="shared" si="22"/>
        <v xml:space="preserve"> 25 Jun 2016</v>
      </c>
    </row>
    <row r="281" spans="2:10">
      <c r="B281" s="257">
        <f t="shared" ca="1" si="14"/>
        <v>38.1</v>
      </c>
      <c r="C281" s="1" t="str">
        <f t="shared" si="15"/>
        <v xml:space="preserve">David </v>
      </c>
      <c r="D281" s="1" t="str">
        <f t="shared" si="16"/>
        <v xml:space="preserve">Michael </v>
      </c>
      <c r="E281" s="1" t="str">
        <f t="shared" si="17"/>
        <v>Lee</v>
      </c>
      <c r="F281" s="1" t="str">
        <f t="shared" si="18"/>
        <v>David Michael Lee</v>
      </c>
      <c r="G281" s="1" t="str">
        <f t="shared" si="19"/>
        <v>₹ 50,000</v>
      </c>
      <c r="H281" s="1" t="str">
        <f t="shared" si="20"/>
        <v>₹ 50,000</v>
      </c>
      <c r="I281" s="403" t="str">
        <f t="shared" ca="1" si="21"/>
        <v>D001E08138.1</v>
      </c>
      <c r="J281" s="258" t="str">
        <f t="shared" si="22"/>
        <v xml:space="preserve"> 15 Mar 2011</v>
      </c>
    </row>
    <row r="282" spans="2:10">
      <c r="B282" s="257">
        <f t="shared" ca="1" si="14"/>
        <v>30.5</v>
      </c>
      <c r="C282" s="1" t="str">
        <f t="shared" si="15"/>
        <v xml:space="preserve">Patricia </v>
      </c>
      <c r="D282" s="1" t="str">
        <f t="shared" si="16"/>
        <v xml:space="preserve">Ann </v>
      </c>
      <c r="E282" s="1" t="str">
        <f t="shared" si="17"/>
        <v>Clark</v>
      </c>
      <c r="F282" s="1" t="str">
        <f t="shared" si="18"/>
        <v>Patricia Ann Clark</v>
      </c>
      <c r="G282" s="1" t="str">
        <f t="shared" si="19"/>
        <v>₹ 41,001</v>
      </c>
      <c r="H282" s="1" t="str">
        <f t="shared" si="20"/>
        <v>₹ 41,001</v>
      </c>
      <c r="I282" s="403" t="str">
        <f t="shared" ca="1" si="21"/>
        <v>D002E08230.5</v>
      </c>
      <c r="J282" s="258" t="str">
        <f t="shared" si="22"/>
        <v xml:space="preserve"> 18 Aug 2016</v>
      </c>
    </row>
    <row r="283" spans="2:10">
      <c r="B283" s="257">
        <f t="shared" ca="1" si="14"/>
        <v>40.1</v>
      </c>
      <c r="C283" s="1" t="str">
        <f t="shared" si="15"/>
        <v xml:space="preserve">Robert </v>
      </c>
      <c r="D283" s="1" t="str">
        <f t="shared" si="16"/>
        <v xml:space="preserve">John </v>
      </c>
      <c r="E283" s="1" t="str">
        <f t="shared" si="17"/>
        <v>Walker</v>
      </c>
      <c r="F283" s="1" t="str">
        <f t="shared" si="18"/>
        <v>Robert John Walker</v>
      </c>
      <c r="G283" s="1" t="str">
        <f t="shared" si="19"/>
        <v>₹ 52,001</v>
      </c>
      <c r="H283" s="1" t="str">
        <f t="shared" si="20"/>
        <v>₹ 52,001</v>
      </c>
      <c r="I283" s="403" t="str">
        <f t="shared" ca="1" si="21"/>
        <v>D003E08340.1</v>
      </c>
      <c r="J283" s="258" t="str">
        <f t="shared" si="22"/>
        <v xml:space="preserve"> 16 Jul 2010</v>
      </c>
    </row>
    <row r="284" spans="2:10">
      <c r="B284" s="257">
        <f t="shared" ca="1" si="14"/>
        <v>31.200000000000003</v>
      </c>
      <c r="C284" s="1" t="str">
        <f t="shared" si="15"/>
        <v xml:space="preserve">Linda </v>
      </c>
      <c r="D284" s="1" t="str">
        <f t="shared" si="16"/>
        <v xml:space="preserve">Marie </v>
      </c>
      <c r="E284" s="1" t="str">
        <f t="shared" si="17"/>
        <v>Hall</v>
      </c>
      <c r="F284" s="1" t="str">
        <f t="shared" si="18"/>
        <v>Linda Marie Hall</v>
      </c>
      <c r="G284" s="1" t="str">
        <f t="shared" si="19"/>
        <v>₹ 42,800</v>
      </c>
      <c r="H284" s="1" t="str">
        <f t="shared" si="20"/>
        <v>₹ 42,800</v>
      </c>
      <c r="I284" s="403" t="str">
        <f t="shared" ca="1" si="21"/>
        <v>D004E08431.2</v>
      </c>
      <c r="J284" s="258" t="str">
        <f t="shared" si="22"/>
        <v xml:space="preserve"> 10 Nov 2014</v>
      </c>
    </row>
    <row r="285" spans="2:10">
      <c r="B285" s="257">
        <f t="shared" ca="1" si="14"/>
        <v>38.4</v>
      </c>
      <c r="C285" s="1" t="str">
        <f t="shared" si="15"/>
        <v xml:space="preserve">Thomas </v>
      </c>
      <c r="D285" s="1" t="str">
        <f t="shared" si="16"/>
        <v xml:space="preserve">David </v>
      </c>
      <c r="E285" s="1" t="str">
        <f t="shared" si="17"/>
        <v>Lewis</v>
      </c>
      <c r="F285" s="1" t="str">
        <f t="shared" si="18"/>
        <v>Thomas David Lewis</v>
      </c>
      <c r="G285" s="1" t="str">
        <f t="shared" si="19"/>
        <v>₹ 49,501</v>
      </c>
      <c r="H285" s="1" t="str">
        <f t="shared" si="20"/>
        <v>₹ 49,501</v>
      </c>
      <c r="I285" s="403" t="str">
        <f t="shared" ca="1" si="21"/>
        <v>D005E08538.4</v>
      </c>
      <c r="J285" s="258" t="str">
        <f t="shared" si="22"/>
        <v xml:space="preserve"> 21 Feb 2011</v>
      </c>
    </row>
    <row r="286" spans="2:10">
      <c r="B286" s="257">
        <f t="shared" ca="1" si="14"/>
        <v>40.9</v>
      </c>
      <c r="C286" s="1" t="str">
        <f t="shared" si="15"/>
        <v xml:space="preserve">Karen </v>
      </c>
      <c r="D286" s="1" t="str">
        <f t="shared" si="16"/>
        <v xml:space="preserve">Ann </v>
      </c>
      <c r="E286" s="1" t="str">
        <f t="shared" si="17"/>
        <v>Harris</v>
      </c>
      <c r="F286" s="1" t="str">
        <f t="shared" si="18"/>
        <v>Karen Ann Harris</v>
      </c>
      <c r="G286" s="1" t="str">
        <f t="shared" si="19"/>
        <v>₹ 46,201</v>
      </c>
      <c r="H286" s="1" t="str">
        <f t="shared" si="20"/>
        <v>₹ 46,201</v>
      </c>
      <c r="I286" s="403" t="str">
        <f t="shared" ca="1" si="21"/>
        <v>D006E08640.9</v>
      </c>
      <c r="J286" s="258" t="str">
        <f t="shared" si="22"/>
        <v xml:space="preserve"> 19 Oct 2009</v>
      </c>
    </row>
    <row r="287" spans="2:10">
      <c r="B287" s="257">
        <f t="shared" ca="1" si="14"/>
        <v>41.4</v>
      </c>
      <c r="C287" s="1" t="str">
        <f t="shared" si="15"/>
        <v xml:space="preserve">Steven </v>
      </c>
      <c r="D287" s="1" t="str">
        <f t="shared" si="16"/>
        <v xml:space="preserve">John </v>
      </c>
      <c r="E287" s="1" t="str">
        <f t="shared" si="17"/>
        <v>King</v>
      </c>
      <c r="F287" s="1" t="str">
        <f t="shared" si="18"/>
        <v>Steven John King</v>
      </c>
      <c r="G287" s="1" t="str">
        <f t="shared" si="19"/>
        <v>₹ 50,801</v>
      </c>
      <c r="H287" s="1" t="str">
        <f t="shared" si="20"/>
        <v>₹ 50,801</v>
      </c>
      <c r="I287" s="403" t="str">
        <f t="shared" ca="1" si="21"/>
        <v>D007E08741.4</v>
      </c>
      <c r="J287" s="258" t="str">
        <f t="shared" si="22"/>
        <v xml:space="preserve"> 14 Mar 2008</v>
      </c>
    </row>
    <row r="288" spans="2:10">
      <c r="B288" s="257">
        <f t="shared" ca="1" si="14"/>
        <v>34.700000000000003</v>
      </c>
      <c r="C288" s="1" t="str">
        <f t="shared" si="15"/>
        <v xml:space="preserve">Laura </v>
      </c>
      <c r="D288" s="1" t="str">
        <f t="shared" si="16"/>
        <v xml:space="preserve">Marie </v>
      </c>
      <c r="E288" s="1" t="str">
        <f t="shared" si="17"/>
        <v>Scott</v>
      </c>
      <c r="F288" s="1" t="str">
        <f t="shared" si="18"/>
        <v>Laura Marie Scott</v>
      </c>
      <c r="G288" s="1" t="str">
        <f t="shared" si="19"/>
        <v>₹ 40,200</v>
      </c>
      <c r="H288" s="1" t="str">
        <f t="shared" si="20"/>
        <v>₹ 40,200</v>
      </c>
      <c r="I288" s="403" t="str">
        <f t="shared" ca="1" si="21"/>
        <v>D008E08834.7</v>
      </c>
      <c r="J288" s="258" t="str">
        <f t="shared" si="22"/>
        <v xml:space="preserve"> 25 Apr 2015</v>
      </c>
    </row>
    <row r="289" spans="2:10">
      <c r="B289" s="257">
        <f t="shared" ca="1" si="14"/>
        <v>44.2</v>
      </c>
      <c r="C289" s="1" t="str">
        <f t="shared" si="15"/>
        <v xml:space="preserve">Kevin </v>
      </c>
      <c r="D289" s="1" t="str">
        <f t="shared" si="16"/>
        <v xml:space="preserve">Robert </v>
      </c>
      <c r="E289" s="1" t="str">
        <f t="shared" si="17"/>
        <v>Young</v>
      </c>
      <c r="F289" s="1" t="str">
        <f t="shared" si="18"/>
        <v>Kevin Robert Young</v>
      </c>
      <c r="G289" s="1" t="str">
        <f t="shared" si="19"/>
        <v>₹ 53,001</v>
      </c>
      <c r="H289" s="1" t="str">
        <f t="shared" si="20"/>
        <v>₹ 53,001</v>
      </c>
      <c r="I289" s="403" t="str">
        <f t="shared" ca="1" si="21"/>
        <v>D009E08944.2</v>
      </c>
      <c r="J289" s="258" t="str">
        <f t="shared" si="22"/>
        <v xml:space="preserve"> 12 Jun 2009</v>
      </c>
    </row>
    <row r="290" spans="2:10">
      <c r="B290" s="257">
        <f t="shared" ca="1" si="14"/>
        <v>39.5</v>
      </c>
      <c r="C290" s="1" t="str">
        <f t="shared" si="15"/>
        <v xml:space="preserve">Mary </v>
      </c>
      <c r="D290" s="1" t="str">
        <f t="shared" si="16"/>
        <v xml:space="preserve">Elizabeth </v>
      </c>
      <c r="E290" s="1" t="str">
        <f t="shared" si="17"/>
        <v>Mitchell</v>
      </c>
      <c r="F290" s="1" t="str">
        <f t="shared" si="18"/>
        <v>Mary Elizabeth Mitchell</v>
      </c>
      <c r="G290" s="1" t="str">
        <f t="shared" si="19"/>
        <v>₹ 42,000</v>
      </c>
      <c r="H290" s="1" t="str">
        <f t="shared" si="20"/>
        <v>₹ 42,000</v>
      </c>
      <c r="I290" s="403" t="str">
        <f t="shared" ca="1" si="21"/>
        <v>D010E09039.5</v>
      </c>
      <c r="J290" s="258" t="str">
        <f t="shared" si="22"/>
        <v xml:space="preserve"> 20 Jan 2010</v>
      </c>
    </row>
    <row r="291" spans="2:10">
      <c r="B291" s="257">
        <f t="shared" ca="1" si="14"/>
        <v>33.800000000000004</v>
      </c>
      <c r="C291" s="1" t="str">
        <f t="shared" si="15"/>
        <v xml:space="preserve">Richard </v>
      </c>
      <c r="D291" s="1" t="str">
        <f t="shared" si="16"/>
        <v xml:space="preserve">Scott </v>
      </c>
      <c r="E291" s="1" t="str">
        <f t="shared" si="17"/>
        <v>Gonzalez</v>
      </c>
      <c r="F291" s="1" t="str">
        <f t="shared" si="18"/>
        <v>Richard Scott Gonzalez</v>
      </c>
      <c r="G291" s="1" t="str">
        <f t="shared" si="19"/>
        <v>₹ 47,001</v>
      </c>
      <c r="H291" s="1" t="str">
        <f t="shared" si="20"/>
        <v>₹ 47,001</v>
      </c>
      <c r="I291" s="403" t="str">
        <f t="shared" ca="1" si="21"/>
        <v>D001E09133.8</v>
      </c>
      <c r="J291" s="258" t="str">
        <f t="shared" si="22"/>
        <v xml:space="preserve"> 25 Oct 2013</v>
      </c>
    </row>
    <row r="292" spans="2:10">
      <c r="B292" s="257">
        <f t="shared" ca="1" si="14"/>
        <v>40.5</v>
      </c>
      <c r="C292" s="1" t="str">
        <f t="shared" si="15"/>
        <v xml:space="preserve">Jennifer </v>
      </c>
      <c r="D292" s="1" t="str">
        <f t="shared" si="16"/>
        <v xml:space="preserve">Lynn </v>
      </c>
      <c r="E292" s="1" t="str">
        <f t="shared" si="17"/>
        <v>Nelson</v>
      </c>
      <c r="F292" s="1" t="str">
        <f t="shared" si="18"/>
        <v>Jennifer Lynn Nelson</v>
      </c>
      <c r="G292" s="1" t="str">
        <f t="shared" si="19"/>
        <v>₹ 40,801</v>
      </c>
      <c r="H292" s="1" t="str">
        <f t="shared" si="20"/>
        <v>₹ 40,801</v>
      </c>
      <c r="I292" s="403" t="str">
        <f t="shared" ca="1" si="21"/>
        <v>D002E09240.5</v>
      </c>
      <c r="J292" s="258" t="str">
        <f t="shared" si="22"/>
        <v xml:space="preserve"> 28 Aug 2009</v>
      </c>
    </row>
    <row r="293" spans="2:10">
      <c r="B293" s="257">
        <f t="shared" ca="1" si="14"/>
        <v>38.200000000000003</v>
      </c>
      <c r="C293" s="1" t="str">
        <f t="shared" si="15"/>
        <v xml:space="preserve">William </v>
      </c>
      <c r="D293" s="1" t="str">
        <f t="shared" si="16"/>
        <v xml:space="preserve">Thomas </v>
      </c>
      <c r="E293" s="1" t="str">
        <f t="shared" si="17"/>
        <v>Robinson</v>
      </c>
      <c r="F293" s="1" t="str">
        <f t="shared" si="18"/>
        <v>William Thomas Robinson</v>
      </c>
      <c r="G293" s="1" t="str">
        <f t="shared" si="19"/>
        <v>₹ 45,001</v>
      </c>
      <c r="H293" s="1" t="str">
        <f t="shared" si="20"/>
        <v>₹ 45,001</v>
      </c>
      <c r="I293" s="403" t="str">
        <f t="shared" ca="1" si="21"/>
        <v>D003E09338.2</v>
      </c>
      <c r="J293" s="258" t="str">
        <f t="shared" si="22"/>
        <v xml:space="preserve"> 10 Dec 2011</v>
      </c>
    </row>
    <row r="294" spans="2:10">
      <c r="B294" s="257">
        <f t="shared" ca="1" si="14"/>
        <v>41.6</v>
      </c>
      <c r="C294" s="1" t="str">
        <f t="shared" si="15"/>
        <v xml:space="preserve">Laura </v>
      </c>
      <c r="D294" s="1" t="str">
        <f t="shared" si="16"/>
        <v xml:space="preserve">Ann </v>
      </c>
      <c r="E294" s="1" t="str">
        <f t="shared" si="17"/>
        <v>Green</v>
      </c>
      <c r="F294" s="1" t="str">
        <f t="shared" si="18"/>
        <v>Laura Ann Green</v>
      </c>
      <c r="G294" s="1" t="str">
        <f t="shared" si="19"/>
        <v>₹ 55,000</v>
      </c>
      <c r="H294" s="1" t="str">
        <f t="shared" si="20"/>
        <v>₹ 55,000</v>
      </c>
      <c r="I294" s="403" t="str">
        <f t="shared" ca="1" si="21"/>
        <v>D004E09441.6</v>
      </c>
      <c r="J294" s="258" t="str">
        <f t="shared" si="22"/>
        <v xml:space="preserve"> 27 May 2008</v>
      </c>
    </row>
    <row r="295" spans="2:10">
      <c r="B295" s="257">
        <f t="shared" ca="1" si="14"/>
        <v>32.700000000000003</v>
      </c>
      <c r="C295" s="1" t="str">
        <f t="shared" si="15"/>
        <v xml:space="preserve">Kevin </v>
      </c>
      <c r="D295" s="1" t="str">
        <f t="shared" si="16"/>
        <v xml:space="preserve">Robert </v>
      </c>
      <c r="E295" s="1" t="str">
        <f t="shared" si="17"/>
        <v>White</v>
      </c>
      <c r="F295" s="1" t="str">
        <f t="shared" si="18"/>
        <v>Kevin Robert White</v>
      </c>
      <c r="G295" s="1" t="str">
        <f t="shared" si="19"/>
        <v>₹ 42,801</v>
      </c>
      <c r="H295" s="1" t="str">
        <f t="shared" si="20"/>
        <v>₹ 42,801</v>
      </c>
      <c r="I295" s="403" t="str">
        <f t="shared" ca="1" si="21"/>
        <v>D005E09532.7</v>
      </c>
      <c r="J295" s="258" t="str">
        <f t="shared" si="22"/>
        <v xml:space="preserve"> 19 Dec 2015</v>
      </c>
    </row>
    <row r="296" spans="2:10">
      <c r="B296" s="257">
        <f t="shared" ca="1" si="14"/>
        <v>38</v>
      </c>
      <c r="C296" s="1" t="str">
        <f t="shared" si="15"/>
        <v xml:space="preserve">Michael </v>
      </c>
      <c r="D296" s="1" t="str">
        <f t="shared" si="16"/>
        <v xml:space="preserve">John </v>
      </c>
      <c r="E296" s="1" t="str">
        <f t="shared" si="17"/>
        <v>Adams</v>
      </c>
      <c r="F296" s="1" t="str">
        <f t="shared" si="18"/>
        <v>Michael John Adams</v>
      </c>
      <c r="G296" s="1" t="str">
        <f t="shared" si="19"/>
        <v>₹ 47,000</v>
      </c>
      <c r="H296" s="1" t="str">
        <f t="shared" si="20"/>
        <v>₹ 47,000</v>
      </c>
      <c r="I296" s="403" t="str">
        <f t="shared" ca="1" si="21"/>
        <v>D006E09638</v>
      </c>
      <c r="J296" s="258" t="str">
        <f t="shared" si="22"/>
        <v xml:space="preserve"> 14 Apr 2010</v>
      </c>
    </row>
    <row r="297" spans="2:10">
      <c r="B297" s="257">
        <f t="shared" ca="1" si="14"/>
        <v>43.1</v>
      </c>
      <c r="C297" s="1" t="str">
        <f t="shared" si="15"/>
        <v xml:space="preserve">Karen </v>
      </c>
      <c r="D297" s="1" t="str">
        <f t="shared" si="16"/>
        <v xml:space="preserve">Elizabeth </v>
      </c>
      <c r="E297" s="1" t="str">
        <f t="shared" si="17"/>
        <v>Brooks</v>
      </c>
      <c r="F297" s="1" t="str">
        <f t="shared" si="18"/>
        <v>Karen Elizabeth Brooks</v>
      </c>
      <c r="G297" s="1" t="str">
        <f t="shared" si="19"/>
        <v>₹ 52,001</v>
      </c>
      <c r="H297" s="1" t="str">
        <f t="shared" si="20"/>
        <v>₹ 52,001</v>
      </c>
      <c r="I297" s="403" t="str">
        <f t="shared" ca="1" si="21"/>
        <v>D007E09743.1</v>
      </c>
      <c r="J297" s="258" t="str">
        <f t="shared" si="22"/>
        <v xml:space="preserve"> 25 Jul 2007</v>
      </c>
    </row>
    <row r="298" spans="2:10">
      <c r="B298" s="257">
        <f t="shared" ca="1" si="14"/>
        <v>30.400000000000002</v>
      </c>
      <c r="C298" s="1" t="str">
        <f t="shared" si="15"/>
        <v xml:space="preserve">Jessica </v>
      </c>
      <c r="D298" s="1" t="str">
        <f t="shared" si="16"/>
        <v xml:space="preserve">Marie </v>
      </c>
      <c r="E298" s="1" t="str">
        <f t="shared" si="17"/>
        <v>Hernandez</v>
      </c>
      <c r="F298" s="1" t="str">
        <f t="shared" si="18"/>
        <v>Jessica Marie Hernandez</v>
      </c>
      <c r="G298" s="1" t="str">
        <f t="shared" si="19"/>
        <v>₹ 39,501</v>
      </c>
      <c r="H298" s="1" t="str">
        <f t="shared" si="20"/>
        <v>₹ 39,501</v>
      </c>
      <c r="I298" s="403" t="str">
        <f t="shared" ca="1" si="21"/>
        <v>D008E09830.4</v>
      </c>
      <c r="J298" s="258" t="str">
        <f t="shared" si="22"/>
        <v xml:space="preserve"> 22 Mar 2016</v>
      </c>
    </row>
    <row r="299" spans="2:10">
      <c r="B299" s="257">
        <f t="shared" ca="1" si="14"/>
        <v>39.700000000000003</v>
      </c>
      <c r="C299" s="1" t="str">
        <f t="shared" si="15"/>
        <v xml:space="preserve">Charles </v>
      </c>
      <c r="D299" s="1" t="str">
        <f t="shared" si="16"/>
        <v xml:space="preserve">John </v>
      </c>
      <c r="E299" s="1" t="str">
        <f t="shared" si="17"/>
        <v>Thompson</v>
      </c>
      <c r="F299" s="1" t="str">
        <f t="shared" si="18"/>
        <v>Charles John Thompson</v>
      </c>
      <c r="G299" s="1" t="str">
        <f t="shared" si="19"/>
        <v>₹ 50,001</v>
      </c>
      <c r="H299" s="1" t="str">
        <f t="shared" si="20"/>
        <v>₹ 50,001</v>
      </c>
      <c r="I299" s="403" t="str">
        <f t="shared" ca="1" si="21"/>
        <v>D009E09939.7</v>
      </c>
      <c r="J299" s="258" t="str">
        <f t="shared" si="22"/>
        <v xml:space="preserve"> 12 Sep 2010</v>
      </c>
    </row>
    <row r="300" spans="2:10" ht="15.75" thickBot="1">
      <c r="B300" s="259">
        <f t="shared" ca="1" si="14"/>
        <v>29.200000000000003</v>
      </c>
      <c r="C300" s="260" t="str">
        <f t="shared" si="15"/>
        <v xml:space="preserve">Lisa </v>
      </c>
      <c r="D300" s="260" t="str">
        <f t="shared" si="16"/>
        <v xml:space="preserve">Marie </v>
      </c>
      <c r="E300" s="260" t="str">
        <f t="shared" si="17"/>
        <v>Davis</v>
      </c>
      <c r="F300" s="260" t="str">
        <f t="shared" si="18"/>
        <v>Lisa Marie Davis</v>
      </c>
      <c r="G300" s="260" t="str">
        <f t="shared" si="19"/>
        <v>₹ 42,200</v>
      </c>
      <c r="H300" s="260" t="str">
        <f t="shared" si="20"/>
        <v>₹ 42,200</v>
      </c>
      <c r="I300" s="261" t="str">
        <f t="shared" ca="1" si="21"/>
        <v>D010E10029.2</v>
      </c>
      <c r="J300" s="262" t="str">
        <f t="shared" si="22"/>
        <v xml:space="preserve"> 10 Aug 2017</v>
      </c>
    </row>
  </sheetData>
  <mergeCells count="23">
    <mergeCell ref="B78:E78"/>
    <mergeCell ref="B73:E73"/>
    <mergeCell ref="B94:F94"/>
    <mergeCell ref="B92:F92"/>
    <mergeCell ref="B93:F93"/>
    <mergeCell ref="B90:F90"/>
    <mergeCell ref="B91:F91"/>
    <mergeCell ref="B85:F85"/>
    <mergeCell ref="B86:F86"/>
    <mergeCell ref="B87:F87"/>
    <mergeCell ref="B88:F88"/>
    <mergeCell ref="B89:F89"/>
    <mergeCell ref="B81:E81"/>
    <mergeCell ref="B74:E74"/>
    <mergeCell ref="B75:E75"/>
    <mergeCell ref="B76:E76"/>
    <mergeCell ref="B77:E77"/>
    <mergeCell ref="E46:F46"/>
    <mergeCell ref="C2:H2"/>
    <mergeCell ref="C4:H4"/>
    <mergeCell ref="C8:D8"/>
    <mergeCell ref="C39:D39"/>
    <mergeCell ref="C7:D7"/>
  </mergeCells>
  <pageMargins left="0.7" right="0.7" top="0.75" bottom="0.75" header="0.3" footer="0.3"/>
  <ignoredErrors>
    <ignoredError sqref="I55 I60 D4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34C-725A-472D-B98C-911A15CAC7B9}">
  <sheetPr codeName="Sheet13"/>
  <dimension ref="B2:S274"/>
  <sheetViews>
    <sheetView zoomScale="95" zoomScaleNormal="136" workbookViewId="0">
      <selection activeCell="B67" sqref="B67"/>
    </sheetView>
  </sheetViews>
  <sheetFormatPr defaultRowHeight="15"/>
  <cols>
    <col min="1" max="1" width="9.140625" customWidth="1"/>
    <col min="2" max="11" width="30.7109375" customWidth="1"/>
    <col min="13" max="13" width="76.28515625" customWidth="1"/>
  </cols>
  <sheetData>
    <row r="2" spans="2:13" ht="15.75" thickBot="1"/>
    <row r="3" spans="2:13" ht="29.25" thickBot="1">
      <c r="B3" s="484" t="s">
        <v>923</v>
      </c>
      <c r="C3" s="485"/>
      <c r="D3" s="485"/>
      <c r="E3" s="485"/>
      <c r="F3" s="485"/>
      <c r="G3" s="486"/>
      <c r="H3" s="295"/>
      <c r="I3" s="295"/>
      <c r="J3" s="295"/>
      <c r="K3" s="295"/>
    </row>
    <row r="5" spans="2:13" ht="28.5">
      <c r="B5" s="487" t="s">
        <v>924</v>
      </c>
      <c r="C5" s="488"/>
      <c r="D5" s="488"/>
      <c r="E5" s="488"/>
      <c r="F5" s="488"/>
      <c r="G5" s="490"/>
      <c r="H5" s="310"/>
      <c r="I5" s="310"/>
      <c r="J5" s="310"/>
      <c r="K5" s="310"/>
      <c r="M5" s="304" t="s">
        <v>933</v>
      </c>
    </row>
    <row r="8" spans="2:13">
      <c r="M8" t="s">
        <v>934</v>
      </c>
    </row>
    <row r="9" spans="2:13">
      <c r="B9" s="561" t="s">
        <v>931</v>
      </c>
      <c r="C9" s="562"/>
      <c r="M9" t="s">
        <v>935</v>
      </c>
    </row>
    <row r="10" spans="2:13">
      <c r="B10" s="563" t="s">
        <v>994</v>
      </c>
      <c r="C10" s="564"/>
      <c r="F10" s="545" t="s">
        <v>528</v>
      </c>
      <c r="G10" s="546"/>
      <c r="M10" t="s">
        <v>936</v>
      </c>
    </row>
    <row r="11" spans="2:13">
      <c r="B11" s="105" t="s">
        <v>932</v>
      </c>
      <c r="C11" s="24">
        <v>206</v>
      </c>
      <c r="F11" s="23"/>
      <c r="G11" s="24"/>
      <c r="M11" t="s">
        <v>957</v>
      </c>
    </row>
    <row r="12" spans="2:13">
      <c r="B12" s="23"/>
      <c r="C12" s="24">
        <v>41</v>
      </c>
      <c r="F12" s="23"/>
      <c r="G12" s="24">
        <v>164</v>
      </c>
    </row>
    <row r="13" spans="2:13">
      <c r="B13" s="23"/>
      <c r="C13" s="24">
        <v>185</v>
      </c>
      <c r="F13" s="23"/>
      <c r="G13" s="102" t="s">
        <v>264</v>
      </c>
      <c r="M13" t="s">
        <v>937</v>
      </c>
    </row>
    <row r="14" spans="2:13">
      <c r="B14" s="23"/>
      <c r="C14" s="24">
        <v>132</v>
      </c>
      <c r="F14" s="23"/>
      <c r="G14" s="24">
        <v>423</v>
      </c>
      <c r="M14" t="s">
        <v>938</v>
      </c>
    </row>
    <row r="15" spans="2:13">
      <c r="B15" s="23"/>
      <c r="C15" s="24">
        <v>145</v>
      </c>
      <c r="F15" s="23"/>
      <c r="G15" s="24">
        <v>373</v>
      </c>
      <c r="M15" t="s">
        <v>939</v>
      </c>
    </row>
    <row r="16" spans="2:13">
      <c r="B16" s="23"/>
      <c r="C16" s="24">
        <v>238</v>
      </c>
      <c r="F16" s="23"/>
      <c r="G16" s="102"/>
    </row>
    <row r="17" spans="2:13">
      <c r="B17" s="23"/>
      <c r="C17" s="24">
        <v>34</v>
      </c>
      <c r="F17" s="23"/>
      <c r="G17" s="24">
        <v>415</v>
      </c>
      <c r="M17" t="s">
        <v>975</v>
      </c>
    </row>
    <row r="18" spans="2:13">
      <c r="B18" s="23"/>
      <c r="C18" s="24">
        <v>197</v>
      </c>
      <c r="F18" s="23"/>
      <c r="G18" s="24">
        <v>61</v>
      </c>
      <c r="M18" s="306" t="s">
        <v>973</v>
      </c>
    </row>
    <row r="19" spans="2:13">
      <c r="B19" s="23"/>
      <c r="C19" s="24">
        <v>241</v>
      </c>
      <c r="F19" s="23"/>
      <c r="G19" s="24">
        <v>271</v>
      </c>
    </row>
    <row r="20" spans="2:13">
      <c r="B20" s="23"/>
      <c r="C20" s="24">
        <v>173</v>
      </c>
      <c r="F20" s="23"/>
      <c r="G20" s="24">
        <v>32</v>
      </c>
      <c r="M20" t="s">
        <v>974</v>
      </c>
    </row>
    <row r="21" spans="2:13">
      <c r="B21" s="13"/>
      <c r="C21" s="24">
        <v>146</v>
      </c>
      <c r="F21" s="23"/>
      <c r="G21" s="24">
        <v>238</v>
      </c>
      <c r="M21" t="s">
        <v>976</v>
      </c>
    </row>
    <row r="22" spans="2:13">
      <c r="B22" s="105" t="s">
        <v>243</v>
      </c>
      <c r="C22" s="104">
        <f>SUM(C11:C21)</f>
        <v>1738</v>
      </c>
      <c r="F22" s="105" t="s">
        <v>263</v>
      </c>
      <c r="G22" s="104">
        <f>COUNT(G12:G21)</f>
        <v>8</v>
      </c>
      <c r="M22" s="149"/>
    </row>
    <row r="23" spans="2:13">
      <c r="B23" s="105" t="s">
        <v>244</v>
      </c>
      <c r="C23" s="104">
        <f>AVERAGE(C11:C21)</f>
        <v>158</v>
      </c>
      <c r="F23" s="105" t="s">
        <v>266</v>
      </c>
      <c r="G23" s="104">
        <f>COUNTA(G12:G21)</f>
        <v>9</v>
      </c>
      <c r="M23" t="s">
        <v>1109</v>
      </c>
    </row>
    <row r="24" spans="2:13">
      <c r="B24" s="105" t="s">
        <v>261</v>
      </c>
      <c r="C24" s="104">
        <f>MIN(C11:C21)</f>
        <v>34</v>
      </c>
      <c r="F24" s="105" t="s">
        <v>243</v>
      </c>
      <c r="G24" s="104">
        <f>SUM(G12:G21)</f>
        <v>1977</v>
      </c>
      <c r="M24" t="s">
        <v>1110</v>
      </c>
    </row>
    <row r="25" spans="2:13">
      <c r="B25" s="106" t="s">
        <v>262</v>
      </c>
      <c r="C25" s="103">
        <f>MAX(C11:C21)</f>
        <v>241</v>
      </c>
      <c r="F25" s="106" t="s">
        <v>244</v>
      </c>
      <c r="G25" s="103">
        <f>AVERAGE(G12:G21)</f>
        <v>247.125</v>
      </c>
      <c r="M25" t="s">
        <v>1111</v>
      </c>
    </row>
    <row r="26" spans="2:13">
      <c r="M26" t="s">
        <v>1112</v>
      </c>
    </row>
    <row r="28" spans="2:13">
      <c r="M28" t="s">
        <v>1155</v>
      </c>
    </row>
    <row r="29" spans="2:13">
      <c r="M29" s="149"/>
    </row>
    <row r="30" spans="2:13">
      <c r="M30" t="s">
        <v>2198</v>
      </c>
    </row>
    <row r="35" spans="2:10">
      <c r="B35" s="545" t="s">
        <v>2200</v>
      </c>
      <c r="C35" s="571"/>
      <c r="D35" s="546"/>
    </row>
    <row r="36" spans="2:10">
      <c r="B36" s="13"/>
      <c r="D36" s="14"/>
      <c r="I36" s="162"/>
      <c r="J36" s="162"/>
    </row>
    <row r="37" spans="2:10">
      <c r="B37" s="423" t="s">
        <v>2166</v>
      </c>
      <c r="C37" s="4" t="s">
        <v>2167</v>
      </c>
      <c r="D37" s="424" t="s">
        <v>413</v>
      </c>
      <c r="I37" s="162"/>
      <c r="J37" s="162"/>
    </row>
    <row r="38" spans="2:10">
      <c r="B38" s="78" t="s">
        <v>2168</v>
      </c>
      <c r="C38" s="69">
        <v>85</v>
      </c>
      <c r="D38" s="417">
        <v>45292</v>
      </c>
      <c r="I38" s="162"/>
      <c r="J38" s="162"/>
    </row>
    <row r="39" spans="2:10">
      <c r="B39" s="78" t="s">
        <v>2169</v>
      </c>
      <c r="C39" s="69">
        <v>90</v>
      </c>
      <c r="D39" s="417">
        <v>45293</v>
      </c>
      <c r="I39" s="162"/>
      <c r="J39" s="162"/>
    </row>
    <row r="40" spans="2:10">
      <c r="B40" s="78" t="s">
        <v>2168</v>
      </c>
      <c r="C40" s="69">
        <v>78</v>
      </c>
      <c r="D40" s="417">
        <v>45294</v>
      </c>
      <c r="I40" s="162"/>
      <c r="J40" s="162"/>
    </row>
    <row r="41" spans="2:10">
      <c r="B41" s="78" t="s">
        <v>2170</v>
      </c>
      <c r="C41" s="69">
        <v>92</v>
      </c>
      <c r="D41" s="417">
        <v>45292</v>
      </c>
      <c r="I41" s="162"/>
      <c r="J41" s="162"/>
    </row>
    <row r="42" spans="2:10">
      <c r="B42" s="78" t="s">
        <v>2169</v>
      </c>
      <c r="C42" s="69">
        <v>88</v>
      </c>
      <c r="D42" s="417">
        <v>45295</v>
      </c>
      <c r="I42" s="162"/>
      <c r="J42" s="162"/>
    </row>
    <row r="43" spans="2:10">
      <c r="B43" s="78" t="s">
        <v>2168</v>
      </c>
      <c r="C43" s="69">
        <v>80</v>
      </c>
      <c r="D43" s="417">
        <v>45296</v>
      </c>
      <c r="I43" s="162"/>
      <c r="J43" s="162"/>
    </row>
    <row r="44" spans="2:10">
      <c r="B44" s="78" t="s">
        <v>2170</v>
      </c>
      <c r="C44" s="69">
        <v>95</v>
      </c>
      <c r="D44" s="417">
        <v>45293</v>
      </c>
      <c r="I44" s="162"/>
      <c r="J44" s="162"/>
    </row>
    <row r="45" spans="2:10">
      <c r="B45" s="78" t="s">
        <v>2169</v>
      </c>
      <c r="C45" s="69">
        <v>86</v>
      </c>
      <c r="D45" s="417">
        <v>45294</v>
      </c>
      <c r="I45" s="162"/>
      <c r="J45" s="162"/>
    </row>
    <row r="46" spans="2:10">
      <c r="B46" s="80" t="s">
        <v>2170</v>
      </c>
      <c r="C46" s="70">
        <v>91</v>
      </c>
      <c r="D46" s="418">
        <v>45295</v>
      </c>
      <c r="I46" s="162"/>
      <c r="J46" s="162"/>
    </row>
    <row r="47" spans="2:10">
      <c r="I47" s="162"/>
      <c r="J47" s="162"/>
    </row>
    <row r="48" spans="2:10">
      <c r="F48" s="162"/>
      <c r="G48" s="162"/>
      <c r="H48" s="162"/>
      <c r="I48" s="162"/>
      <c r="J48" s="162"/>
    </row>
    <row r="49" spans="2:10">
      <c r="B49" s="565" t="s">
        <v>2171</v>
      </c>
      <c r="C49" s="566"/>
      <c r="D49" s="567"/>
      <c r="F49" s="162"/>
      <c r="G49" s="162"/>
      <c r="H49" s="162"/>
      <c r="I49" s="162"/>
      <c r="J49" s="162"/>
    </row>
    <row r="50" spans="2:10">
      <c r="B50" s="568" t="s">
        <v>2173</v>
      </c>
      <c r="C50" s="569"/>
      <c r="D50" s="570"/>
      <c r="F50" s="162"/>
      <c r="G50" s="162"/>
      <c r="H50" s="162"/>
      <c r="I50" s="162"/>
      <c r="J50" s="162"/>
    </row>
    <row r="51" spans="2:10">
      <c r="B51" s="568" t="s">
        <v>2175</v>
      </c>
      <c r="C51" s="569"/>
      <c r="D51" s="570"/>
      <c r="F51" s="162"/>
      <c r="G51" s="162"/>
      <c r="H51" s="162"/>
      <c r="I51" s="162"/>
      <c r="J51" s="162"/>
    </row>
    <row r="52" spans="2:10">
      <c r="B52" s="568" t="s">
        <v>2177</v>
      </c>
      <c r="C52" s="569"/>
      <c r="D52" s="570"/>
      <c r="F52" s="162"/>
      <c r="G52" s="162"/>
      <c r="H52" s="162"/>
      <c r="I52" s="162"/>
      <c r="J52" s="162"/>
    </row>
    <row r="53" spans="2:10">
      <c r="B53" s="568" t="s">
        <v>2179</v>
      </c>
      <c r="C53" s="569"/>
      <c r="D53" s="570"/>
      <c r="F53" s="162"/>
      <c r="G53" s="162"/>
      <c r="H53" s="162"/>
      <c r="I53" s="162"/>
      <c r="J53" s="162"/>
    </row>
    <row r="54" spans="2:10">
      <c r="B54" s="568" t="s">
        <v>2181</v>
      </c>
      <c r="C54" s="569"/>
      <c r="D54" s="570"/>
      <c r="F54" s="162"/>
      <c r="G54" s="162"/>
      <c r="H54" s="162"/>
      <c r="I54" s="162"/>
      <c r="J54" s="162"/>
    </row>
    <row r="55" spans="2:10">
      <c r="B55" s="568" t="s">
        <v>2183</v>
      </c>
      <c r="C55" s="569"/>
      <c r="D55" s="570"/>
      <c r="F55" s="162"/>
      <c r="G55" s="162"/>
      <c r="H55" s="162"/>
      <c r="I55" s="162"/>
      <c r="J55" s="162"/>
    </row>
    <row r="56" spans="2:10">
      <c r="B56" s="568" t="s">
        <v>2185</v>
      </c>
      <c r="C56" s="569"/>
      <c r="D56" s="570"/>
      <c r="F56" s="162"/>
      <c r="G56" s="162"/>
      <c r="H56" s="162"/>
      <c r="I56" s="162"/>
      <c r="J56" s="162"/>
    </row>
    <row r="57" spans="2:10">
      <c r="B57" s="568" t="s">
        <v>2187</v>
      </c>
      <c r="C57" s="569"/>
      <c r="D57" s="570"/>
      <c r="F57" s="162"/>
      <c r="G57" s="162"/>
      <c r="H57" s="162"/>
      <c r="I57" s="162"/>
      <c r="J57" s="162"/>
    </row>
    <row r="58" spans="2:10">
      <c r="B58" s="568" t="s">
        <v>2189</v>
      </c>
      <c r="C58" s="569"/>
      <c r="D58" s="570"/>
      <c r="F58" s="162"/>
      <c r="G58" s="162"/>
      <c r="H58" s="162"/>
      <c r="I58" s="162"/>
      <c r="J58" s="162"/>
    </row>
    <row r="59" spans="2:10">
      <c r="B59" s="568" t="s">
        <v>2191</v>
      </c>
      <c r="C59" s="569"/>
      <c r="D59" s="570"/>
      <c r="F59" s="162"/>
      <c r="G59" s="162"/>
      <c r="H59" s="162"/>
      <c r="I59" s="162"/>
      <c r="J59" s="162"/>
    </row>
    <row r="60" spans="2:10">
      <c r="B60" s="568" t="s">
        <v>2193</v>
      </c>
      <c r="C60" s="569"/>
      <c r="D60" s="570"/>
      <c r="F60" s="162"/>
      <c r="G60" s="162"/>
      <c r="H60" s="162"/>
      <c r="I60" s="162"/>
      <c r="J60" s="162"/>
    </row>
    <row r="61" spans="2:10">
      <c r="B61" s="583" t="s">
        <v>2194</v>
      </c>
      <c r="C61" s="584"/>
      <c r="D61" s="585"/>
      <c r="F61" s="162"/>
      <c r="G61" s="162"/>
      <c r="H61" s="162"/>
      <c r="I61" s="162"/>
      <c r="J61" s="162"/>
    </row>
    <row r="62" spans="2:10">
      <c r="F62" s="162"/>
      <c r="G62" s="162"/>
      <c r="H62" s="162"/>
      <c r="I62" s="162"/>
      <c r="J62" s="162"/>
    </row>
    <row r="63" spans="2:10">
      <c r="F63" s="162"/>
      <c r="G63" s="162"/>
      <c r="H63" s="162"/>
      <c r="I63" s="162"/>
      <c r="J63" s="162"/>
    </row>
    <row r="64" spans="2:10">
      <c r="B64" s="572" t="s">
        <v>2172</v>
      </c>
      <c r="C64" s="573"/>
    </row>
    <row r="65" spans="2:6">
      <c r="B65" s="419" t="s">
        <v>2174</v>
      </c>
      <c r="C65" s="113">
        <f>SUMIF(B38:B46,"Team A",C38:C46)</f>
        <v>243</v>
      </c>
    </row>
    <row r="66" spans="2:6">
      <c r="B66" s="419" t="s">
        <v>2176</v>
      </c>
      <c r="C66" s="113">
        <f>SUMIFS(C38:C46,B38:B46,"TEAM B",D38:D46,"&gt;=01-01-2024",D38:D46,"&lt;=05-01-2024")</f>
        <v>264</v>
      </c>
    </row>
    <row r="67" spans="2:6">
      <c r="B67" s="419" t="s">
        <v>2178</v>
      </c>
      <c r="C67" s="113">
        <f>COUNTIF(B38:C46,"Team C")</f>
        <v>3</v>
      </c>
    </row>
    <row r="68" spans="2:6">
      <c r="B68" s="419" t="s">
        <v>2180</v>
      </c>
      <c r="C68" s="113">
        <f>COUNTIFS(B38:B46,"team A",D38:D46,"&gt;=01-01-2024",D38:D46,"=&lt;05-01-2024")</f>
        <v>0</v>
      </c>
    </row>
    <row r="69" spans="2:6">
      <c r="B69" s="419" t="s">
        <v>2182</v>
      </c>
      <c r="C69" s="113">
        <f>AVERAGEIF(B38:B46,"Team B",C38:C46)</f>
        <v>88</v>
      </c>
    </row>
    <row r="70" spans="2:6">
      <c r="B70" s="419" t="s">
        <v>2184</v>
      </c>
      <c r="C70" s="113">
        <f>AVERAGEIFS(C38:C46,B38:B46,"team C",D38:D46,"&gt;=01-01-2024",D38:D46,"&lt;=05-01-2024")</f>
        <v>92.666666666666671</v>
      </c>
    </row>
    <row r="71" spans="2:6">
      <c r="B71" s="419" t="s">
        <v>2186</v>
      </c>
      <c r="C71" s="113">
        <f>DMAX(B37:D46,"POINTS",E70:E71)</f>
        <v>95</v>
      </c>
    </row>
    <row r="72" spans="2:6">
      <c r="B72" s="419" t="s">
        <v>2188</v>
      </c>
      <c r="C72" s="113">
        <f>DMIN(B37:D46,"POINTS",E71:E72)</f>
        <v>78</v>
      </c>
    </row>
    <row r="73" spans="2:6">
      <c r="B73" s="419" t="s">
        <v>2190</v>
      </c>
      <c r="C73" s="113" t="s">
        <v>2196</v>
      </c>
    </row>
    <row r="74" spans="2:6">
      <c r="B74" s="419" t="s">
        <v>2192</v>
      </c>
      <c r="C74" s="113" t="s">
        <v>2197</v>
      </c>
    </row>
    <row r="75" spans="2:6">
      <c r="B75" s="419" t="s">
        <v>2165</v>
      </c>
      <c r="C75" s="113">
        <f>COUNTBLANK(C38:C46)</f>
        <v>0</v>
      </c>
    </row>
    <row r="76" spans="2:6">
      <c r="B76" s="420" t="s">
        <v>2195</v>
      </c>
      <c r="C76" s="115" t="b">
        <f>ISTEXT(C38:C46)</f>
        <v>0</v>
      </c>
    </row>
    <row r="79" spans="2:6">
      <c r="B79" s="9" t="s">
        <v>947</v>
      </c>
    </row>
    <row r="80" spans="2:6">
      <c r="B80" s="574" t="s">
        <v>948</v>
      </c>
      <c r="C80" s="575"/>
      <c r="D80" s="575"/>
      <c r="E80" s="576"/>
      <c r="F80" s="1"/>
    </row>
    <row r="81" spans="2:5">
      <c r="B81" s="577"/>
      <c r="C81" s="527"/>
      <c r="D81" s="527"/>
      <c r="E81" s="578"/>
    </row>
    <row r="82" spans="2:5">
      <c r="B82" s="556" t="s">
        <v>940</v>
      </c>
      <c r="C82" s="530"/>
      <c r="D82" s="530"/>
      <c r="E82" s="557"/>
    </row>
    <row r="83" spans="2:5">
      <c r="B83" s="556" t="s">
        <v>941</v>
      </c>
      <c r="C83" s="530"/>
      <c r="D83" s="530"/>
      <c r="E83" s="557"/>
    </row>
    <row r="84" spans="2:5">
      <c r="B84" s="556" t="s">
        <v>942</v>
      </c>
      <c r="C84" s="530"/>
      <c r="D84" s="530"/>
      <c r="E84" s="557"/>
    </row>
    <row r="85" spans="2:5">
      <c r="B85" s="558" t="s">
        <v>943</v>
      </c>
      <c r="C85" s="559"/>
      <c r="D85" s="559"/>
      <c r="E85" s="560"/>
    </row>
    <row r="88" spans="2:5">
      <c r="B88" s="263" t="s">
        <v>414</v>
      </c>
      <c r="C88" s="264" t="s">
        <v>491</v>
      </c>
      <c r="D88" s="264" t="s">
        <v>303</v>
      </c>
      <c r="E88" s="265" t="s">
        <v>195</v>
      </c>
    </row>
    <row r="89" spans="2:5">
      <c r="B89" s="248" t="s">
        <v>944</v>
      </c>
      <c r="C89" s="162">
        <v>120</v>
      </c>
      <c r="D89" s="162" t="s">
        <v>505</v>
      </c>
      <c r="E89" s="251" t="s">
        <v>317</v>
      </c>
    </row>
    <row r="90" spans="2:5">
      <c r="B90" s="248" t="s">
        <v>945</v>
      </c>
      <c r="C90" s="162">
        <v>150</v>
      </c>
      <c r="D90" s="162" t="s">
        <v>495</v>
      </c>
      <c r="E90" s="251" t="s">
        <v>317</v>
      </c>
    </row>
    <row r="91" spans="2:5">
      <c r="B91" s="248" t="s">
        <v>946</v>
      </c>
      <c r="C91" s="162">
        <v>200</v>
      </c>
      <c r="D91" s="162" t="s">
        <v>505</v>
      </c>
      <c r="E91" s="251" t="s">
        <v>318</v>
      </c>
    </row>
    <row r="92" spans="2:5">
      <c r="B92" s="248" t="s">
        <v>944</v>
      </c>
      <c r="C92" s="162">
        <v>180</v>
      </c>
      <c r="D92" s="162" t="s">
        <v>495</v>
      </c>
      <c r="E92" s="251" t="s">
        <v>318</v>
      </c>
    </row>
    <row r="93" spans="2:5">
      <c r="B93" s="248" t="s">
        <v>945</v>
      </c>
      <c r="C93" s="162">
        <v>220</v>
      </c>
      <c r="D93" s="162" t="s">
        <v>505</v>
      </c>
      <c r="E93" s="251" t="s">
        <v>319</v>
      </c>
    </row>
    <row r="94" spans="2:5">
      <c r="B94" s="248" t="s">
        <v>946</v>
      </c>
      <c r="C94" s="162">
        <v>160</v>
      </c>
      <c r="D94" s="162" t="s">
        <v>495</v>
      </c>
      <c r="E94" s="251" t="s">
        <v>319</v>
      </c>
    </row>
    <row r="95" spans="2:5">
      <c r="B95" s="248" t="s">
        <v>944</v>
      </c>
      <c r="C95" s="162">
        <v>140</v>
      </c>
      <c r="D95" s="162" t="s">
        <v>505</v>
      </c>
      <c r="E95" s="251" t="s">
        <v>319</v>
      </c>
    </row>
    <row r="96" spans="2:5">
      <c r="B96" s="248" t="s">
        <v>945</v>
      </c>
      <c r="C96" s="162">
        <v>210</v>
      </c>
      <c r="D96" s="162" t="s">
        <v>495</v>
      </c>
      <c r="E96" s="251" t="s">
        <v>320</v>
      </c>
    </row>
    <row r="97" spans="2:5">
      <c r="B97" s="172" t="s">
        <v>946</v>
      </c>
      <c r="C97" s="252">
        <v>190</v>
      </c>
      <c r="D97" s="252" t="s">
        <v>505</v>
      </c>
      <c r="E97" s="255" t="s">
        <v>320</v>
      </c>
    </row>
    <row r="100" spans="2:5">
      <c r="B100" s="4" t="s">
        <v>949</v>
      </c>
    </row>
    <row r="101" spans="2:5">
      <c r="B101" s="4"/>
    </row>
    <row r="102" spans="2:5">
      <c r="B102" s="399" t="s">
        <v>954</v>
      </c>
      <c r="C102" s="400" t="s">
        <v>952</v>
      </c>
      <c r="D102" s="579" t="s">
        <v>953</v>
      </c>
      <c r="E102" s="580"/>
    </row>
    <row r="103" spans="2:5">
      <c r="B103" s="13"/>
      <c r="D103" s="1"/>
      <c r="E103" s="113"/>
    </row>
    <row r="104" spans="2:5">
      <c r="B104" s="13" t="s">
        <v>950</v>
      </c>
      <c r="C104" s="6">
        <f>SUM(C89:C97)</f>
        <v>1570</v>
      </c>
      <c r="D104" s="530" t="str">
        <f ca="1">_xlfn.FORMULATEXT(C104)</f>
        <v>=SUM(C89:C97)</v>
      </c>
      <c r="E104" s="557"/>
    </row>
    <row r="105" spans="2:5">
      <c r="B105" s="13"/>
      <c r="C105" s="6"/>
      <c r="D105" s="1"/>
      <c r="E105" s="113"/>
    </row>
    <row r="106" spans="2:5">
      <c r="B106" s="13" t="s">
        <v>951</v>
      </c>
      <c r="C106" s="6">
        <f>SUMIF(B89:B97,"apples",C89:C97)</f>
        <v>440</v>
      </c>
      <c r="D106" s="530" t="str">
        <f ca="1">_xlfn.FORMULATEXT(C106)</f>
        <v>=SUMIF(B89:B97,"apples",C89:C97)</v>
      </c>
      <c r="E106" s="557"/>
    </row>
    <row r="107" spans="2:5">
      <c r="B107" s="13"/>
      <c r="C107" s="6"/>
      <c r="D107" s="1"/>
      <c r="E107" s="113"/>
    </row>
    <row r="108" spans="2:5">
      <c r="B108" s="13" t="s">
        <v>955</v>
      </c>
      <c r="C108" s="6">
        <f>SUMIFS(C89:C97,B89:B97,"oranges",D89:D97,"North")</f>
        <v>220</v>
      </c>
      <c r="D108" s="530" t="str">
        <f ca="1">_xlfn.FORMULATEXT(C108)</f>
        <v>=SUMIFS(C89:C97,B89:B97,"oranges",D89:D97,"North")</v>
      </c>
      <c r="E108" s="557"/>
    </row>
    <row r="109" spans="2:5">
      <c r="B109" s="13"/>
      <c r="C109" s="6"/>
      <c r="D109" s="1"/>
      <c r="E109" s="113"/>
    </row>
    <row r="110" spans="2:5">
      <c r="B110" s="15" t="s">
        <v>956</v>
      </c>
      <c r="C110" s="126">
        <f>SUMIFS(C89:C97,B89:B97,"bananas",D89:D97,"south",E89:E97,"march")</f>
        <v>160</v>
      </c>
      <c r="D110" s="559" t="str">
        <f ca="1">_xlfn.FORMULATEXT(C110)</f>
        <v>=SUMIFS(C89:C97,B89:B97,"bananas",D89:D97,"south",E89:E97,"march")</v>
      </c>
      <c r="E110" s="560"/>
    </row>
    <row r="114" spans="2:6">
      <c r="B114" s="9" t="s">
        <v>947</v>
      </c>
    </row>
    <row r="115" spans="2:6">
      <c r="B115" s="574" t="s">
        <v>967</v>
      </c>
      <c r="C115" s="575"/>
      <c r="D115" s="575"/>
      <c r="E115" s="575"/>
      <c r="F115" s="576"/>
    </row>
    <row r="116" spans="2:6">
      <c r="B116" s="556"/>
      <c r="C116" s="530"/>
      <c r="D116" s="530"/>
      <c r="E116" s="530"/>
      <c r="F116" s="557"/>
    </row>
    <row r="117" spans="2:6">
      <c r="B117" s="556" t="s">
        <v>958</v>
      </c>
      <c r="C117" s="530"/>
      <c r="D117" s="530"/>
      <c r="E117" s="530"/>
      <c r="F117" s="557"/>
    </row>
    <row r="118" spans="2:6">
      <c r="B118" s="556" t="s">
        <v>959</v>
      </c>
      <c r="C118" s="530"/>
      <c r="D118" s="530"/>
      <c r="E118" s="530"/>
      <c r="F118" s="557"/>
    </row>
    <row r="119" spans="2:6">
      <c r="B119" s="556" t="s">
        <v>960</v>
      </c>
      <c r="C119" s="530"/>
      <c r="D119" s="530"/>
      <c r="E119" s="530"/>
      <c r="F119" s="557"/>
    </row>
    <row r="120" spans="2:6">
      <c r="B120" s="556" t="s">
        <v>961</v>
      </c>
      <c r="C120" s="530"/>
      <c r="D120" s="530"/>
      <c r="E120" s="530"/>
      <c r="F120" s="557"/>
    </row>
    <row r="121" spans="2:6">
      <c r="B121" s="558" t="s">
        <v>962</v>
      </c>
      <c r="C121" s="559"/>
      <c r="D121" s="559"/>
      <c r="E121" s="559"/>
      <c r="F121" s="560"/>
    </row>
    <row r="124" spans="2:6">
      <c r="B124" s="263" t="s">
        <v>963</v>
      </c>
      <c r="C124" s="264" t="s">
        <v>491</v>
      </c>
      <c r="D124" s="264" t="s">
        <v>303</v>
      </c>
      <c r="E124" s="265" t="s">
        <v>964</v>
      </c>
    </row>
    <row r="125" spans="2:6">
      <c r="B125" s="248" t="s">
        <v>208</v>
      </c>
      <c r="C125" s="162">
        <v>120</v>
      </c>
      <c r="D125" s="162" t="s">
        <v>505</v>
      </c>
      <c r="E125" s="251" t="s">
        <v>965</v>
      </c>
    </row>
    <row r="126" spans="2:6">
      <c r="B126" s="248" t="s">
        <v>210</v>
      </c>
      <c r="C126" s="162">
        <v>150</v>
      </c>
      <c r="D126" s="162" t="s">
        <v>495</v>
      </c>
      <c r="E126" s="251" t="s">
        <v>966</v>
      </c>
    </row>
    <row r="127" spans="2:6">
      <c r="B127" s="248" t="s">
        <v>209</v>
      </c>
      <c r="C127" s="162"/>
      <c r="D127" s="162" t="s">
        <v>505</v>
      </c>
      <c r="E127" s="251" t="s">
        <v>965</v>
      </c>
    </row>
    <row r="128" spans="2:6">
      <c r="B128" s="248" t="s">
        <v>208</v>
      </c>
      <c r="C128" s="162">
        <v>180</v>
      </c>
      <c r="D128" s="162" t="s">
        <v>498</v>
      </c>
      <c r="E128" s="251" t="s">
        <v>965</v>
      </c>
    </row>
    <row r="129" spans="2:5">
      <c r="B129" s="248" t="s">
        <v>210</v>
      </c>
      <c r="C129" s="162">
        <v>220</v>
      </c>
      <c r="D129" s="162" t="s">
        <v>505</v>
      </c>
      <c r="E129" s="251" t="s">
        <v>965</v>
      </c>
    </row>
    <row r="130" spans="2:5">
      <c r="B130" s="248" t="s">
        <v>208</v>
      </c>
      <c r="C130" s="162">
        <v>200</v>
      </c>
      <c r="D130" s="162" t="s">
        <v>493</v>
      </c>
      <c r="E130" s="251" t="s">
        <v>966</v>
      </c>
    </row>
    <row r="131" spans="2:5">
      <c r="B131" s="248" t="s">
        <v>209</v>
      </c>
      <c r="C131" s="162">
        <v>130</v>
      </c>
      <c r="D131" s="162" t="s">
        <v>498</v>
      </c>
      <c r="E131" s="251" t="s">
        <v>965</v>
      </c>
    </row>
    <row r="132" spans="2:5">
      <c r="B132" s="248" t="s">
        <v>210</v>
      </c>
      <c r="C132" s="162">
        <v>175</v>
      </c>
      <c r="D132" s="162" t="s">
        <v>493</v>
      </c>
      <c r="E132" s="251" t="s">
        <v>965</v>
      </c>
    </row>
    <row r="133" spans="2:5">
      <c r="B133" s="248" t="s">
        <v>208</v>
      </c>
      <c r="C133" s="162">
        <v>160</v>
      </c>
      <c r="D133" s="162" t="s">
        <v>498</v>
      </c>
      <c r="E133" s="251" t="s">
        <v>965</v>
      </c>
    </row>
    <row r="134" spans="2:5">
      <c r="B134" s="172" t="s">
        <v>209</v>
      </c>
      <c r="C134" s="252">
        <v>140</v>
      </c>
      <c r="D134" s="252" t="s">
        <v>495</v>
      </c>
      <c r="E134" s="255" t="s">
        <v>966</v>
      </c>
    </row>
    <row r="136" spans="2:5">
      <c r="B136" s="4" t="s">
        <v>949</v>
      </c>
    </row>
    <row r="138" spans="2:5">
      <c r="B138" s="399" t="s">
        <v>954</v>
      </c>
      <c r="C138" s="400" t="s">
        <v>952</v>
      </c>
      <c r="D138" s="579" t="s">
        <v>953</v>
      </c>
      <c r="E138" s="580"/>
    </row>
    <row r="139" spans="2:5">
      <c r="B139" s="13"/>
      <c r="D139" s="1"/>
      <c r="E139" s="113"/>
    </row>
    <row r="140" spans="2:5">
      <c r="B140" s="13" t="s">
        <v>968</v>
      </c>
      <c r="C140" s="6">
        <f>COUNT(C125:C134)</f>
        <v>9</v>
      </c>
      <c r="D140" s="530" t="str">
        <f ca="1">_xlfn.FORMULATEXT(C140)</f>
        <v>=COUNT(C125:C134)</v>
      </c>
      <c r="E140" s="557"/>
    </row>
    <row r="141" spans="2:5">
      <c r="B141" s="13"/>
      <c r="C141" s="6"/>
      <c r="D141" s="1"/>
      <c r="E141" s="113"/>
    </row>
    <row r="142" spans="2:5">
      <c r="B142" s="13" t="s">
        <v>969</v>
      </c>
      <c r="C142" s="6">
        <f>COUNTA(B125:B134)</f>
        <v>10</v>
      </c>
      <c r="D142" s="530" t="str">
        <f ca="1">_xlfn.FORMULATEXT(C142)</f>
        <v>=COUNTA(B125:B134)</v>
      </c>
      <c r="E142" s="557"/>
    </row>
    <row r="143" spans="2:5">
      <c r="B143" s="13"/>
      <c r="C143" s="6"/>
      <c r="D143" s="1"/>
      <c r="E143" s="113"/>
    </row>
    <row r="144" spans="2:5">
      <c r="B144" s="13" t="s">
        <v>970</v>
      </c>
      <c r="C144" s="6">
        <f>COUNTIF(B125:B134,"toyota")</f>
        <v>4</v>
      </c>
      <c r="D144" s="530" t="str">
        <f ca="1">_xlfn.FORMULATEXT(C144)</f>
        <v>=COUNTIF(B125:B134,"toyota")</v>
      </c>
      <c r="E144" s="557"/>
    </row>
    <row r="145" spans="2:5">
      <c r="B145" s="13"/>
      <c r="C145" s="6"/>
      <c r="D145" s="1"/>
      <c r="E145" s="113"/>
    </row>
    <row r="146" spans="2:5">
      <c r="B146" s="13" t="s">
        <v>971</v>
      </c>
      <c r="C146" s="6">
        <f>COUNTIFS(B125:B134,"toyota",D125:D134,"east")</f>
        <v>2</v>
      </c>
      <c r="D146" s="530" t="str">
        <f ca="1">_xlfn.FORMULATEXT(C146)</f>
        <v>=COUNTIFS(B125:B134,"toyota",D125:D134,"east")</v>
      </c>
      <c r="E146" s="557"/>
    </row>
    <row r="147" spans="2:5">
      <c r="B147" s="13"/>
      <c r="C147" s="6"/>
      <c r="E147" s="14"/>
    </row>
    <row r="148" spans="2:5">
      <c r="B148" s="13" t="s">
        <v>972</v>
      </c>
      <c r="C148" s="6">
        <f>COUNTIFS(E125:E134,"completed",D125:D134,"west")</f>
        <v>1</v>
      </c>
      <c r="D148" t="str">
        <f ca="1">_xlfn.FORMULATEXT(C148)</f>
        <v>=COUNTIFS(E125:E134,"completed",D125:D134,"west")</v>
      </c>
      <c r="E148" s="14"/>
    </row>
    <row r="149" spans="2:5">
      <c r="B149" s="15"/>
      <c r="C149" s="126"/>
      <c r="D149" s="16"/>
      <c r="E149" s="17"/>
    </row>
    <row r="151" spans="2:5">
      <c r="C151" s="4"/>
    </row>
    <row r="152" spans="2:5">
      <c r="B152" s="9" t="s">
        <v>947</v>
      </c>
    </row>
    <row r="153" spans="2:5">
      <c r="B153" s="574" t="s">
        <v>977</v>
      </c>
      <c r="C153" s="575"/>
      <c r="D153" s="576"/>
    </row>
    <row r="154" spans="2:5">
      <c r="B154" s="556"/>
      <c r="C154" s="530"/>
      <c r="D154" s="557"/>
    </row>
    <row r="155" spans="2:5">
      <c r="B155" s="556" t="s">
        <v>978</v>
      </c>
      <c r="C155" s="530"/>
      <c r="D155" s="557"/>
    </row>
    <row r="156" spans="2:5">
      <c r="B156" s="558" t="s">
        <v>979</v>
      </c>
      <c r="C156" s="559"/>
      <c r="D156" s="560"/>
    </row>
    <row r="157" spans="2:5">
      <c r="B157" s="1"/>
      <c r="C157" s="1"/>
    </row>
    <row r="158" spans="2:5" ht="15.75" thickBot="1">
      <c r="B158" s="1"/>
      <c r="C158" s="1"/>
    </row>
    <row r="159" spans="2:5" ht="15.75" thickBot="1">
      <c r="D159" s="581" t="s">
        <v>949</v>
      </c>
      <c r="E159" s="582"/>
    </row>
    <row r="161" spans="2:5">
      <c r="B161" s="309" t="s">
        <v>980</v>
      </c>
      <c r="D161" s="399" t="s">
        <v>927</v>
      </c>
      <c r="E161" s="401" t="s">
        <v>928</v>
      </c>
    </row>
    <row r="162" spans="2:5">
      <c r="B162" s="307">
        <v>4</v>
      </c>
      <c r="D162" s="112">
        <f>POWER(B162,3)</f>
        <v>64</v>
      </c>
      <c r="E162" s="113">
        <f>SQRT(B162)</f>
        <v>2</v>
      </c>
    </row>
    <row r="163" spans="2:5">
      <c r="B163" s="307">
        <v>9</v>
      </c>
      <c r="D163" s="112">
        <f t="shared" ref="D163:D171" si="0">POWER(B163,3)</f>
        <v>729</v>
      </c>
      <c r="E163" s="113">
        <f t="shared" ref="E163:E171" si="1">SQRT(B163)</f>
        <v>3</v>
      </c>
    </row>
    <row r="164" spans="2:5">
      <c r="B164" s="307">
        <v>16</v>
      </c>
      <c r="D164" s="112">
        <f t="shared" si="0"/>
        <v>4096</v>
      </c>
      <c r="E164" s="113">
        <f t="shared" si="1"/>
        <v>4</v>
      </c>
    </row>
    <row r="165" spans="2:5">
      <c r="B165" s="307">
        <v>25</v>
      </c>
      <c r="D165" s="112">
        <f t="shared" si="0"/>
        <v>15625</v>
      </c>
      <c r="E165" s="113">
        <f t="shared" si="1"/>
        <v>5</v>
      </c>
    </row>
    <row r="166" spans="2:5">
      <c r="B166" s="307">
        <v>36</v>
      </c>
      <c r="D166" s="112">
        <f t="shared" si="0"/>
        <v>46656</v>
      </c>
      <c r="E166" s="113">
        <f t="shared" si="1"/>
        <v>6</v>
      </c>
    </row>
    <row r="167" spans="2:5">
      <c r="B167" s="307">
        <v>49</v>
      </c>
      <c r="D167" s="112">
        <f t="shared" si="0"/>
        <v>117649</v>
      </c>
      <c r="E167" s="113">
        <f t="shared" si="1"/>
        <v>7</v>
      </c>
    </row>
    <row r="168" spans="2:5">
      <c r="B168" s="307">
        <v>64</v>
      </c>
      <c r="D168" s="112">
        <f t="shared" si="0"/>
        <v>262144</v>
      </c>
      <c r="E168" s="113">
        <f t="shared" si="1"/>
        <v>8</v>
      </c>
    </row>
    <row r="169" spans="2:5">
      <c r="B169" s="307">
        <v>81</v>
      </c>
      <c r="D169" s="112">
        <f t="shared" si="0"/>
        <v>531441</v>
      </c>
      <c r="E169" s="113">
        <f t="shared" si="1"/>
        <v>9</v>
      </c>
    </row>
    <row r="170" spans="2:5">
      <c r="B170" s="307">
        <v>100</v>
      </c>
      <c r="D170" s="112">
        <f t="shared" si="0"/>
        <v>1000000</v>
      </c>
      <c r="E170" s="113">
        <f t="shared" si="1"/>
        <v>10</v>
      </c>
    </row>
    <row r="171" spans="2:5">
      <c r="B171" s="308">
        <v>121</v>
      </c>
      <c r="D171" s="114">
        <f t="shared" si="0"/>
        <v>1771561</v>
      </c>
      <c r="E171" s="115">
        <f t="shared" si="1"/>
        <v>11</v>
      </c>
    </row>
    <row r="173" spans="2:5">
      <c r="B173" s="149" t="s">
        <v>981</v>
      </c>
    </row>
    <row r="174" spans="2:5">
      <c r="B174" s="60"/>
    </row>
    <row r="175" spans="2:5">
      <c r="B175" s="530" t="s">
        <v>983</v>
      </c>
      <c r="C175" s="530"/>
      <c r="D175" s="1"/>
    </row>
    <row r="176" spans="2:5">
      <c r="B176" s="530" t="s">
        <v>982</v>
      </c>
      <c r="C176" s="530"/>
      <c r="D176" s="1"/>
    </row>
    <row r="178" spans="2:3">
      <c r="B178" s="342" t="s">
        <v>1108</v>
      </c>
      <c r="C178" s="343" t="s">
        <v>491</v>
      </c>
    </row>
    <row r="179" spans="2:3">
      <c r="B179" s="78" t="s">
        <v>1098</v>
      </c>
      <c r="C179" s="79">
        <v>150</v>
      </c>
    </row>
    <row r="180" spans="2:3">
      <c r="B180" s="78" t="s">
        <v>1099</v>
      </c>
      <c r="C180" s="79">
        <v>200</v>
      </c>
    </row>
    <row r="181" spans="2:3">
      <c r="B181" s="78" t="s">
        <v>1100</v>
      </c>
      <c r="C181" s="79">
        <v>250</v>
      </c>
    </row>
    <row r="182" spans="2:3">
      <c r="B182" s="78" t="s">
        <v>1101</v>
      </c>
      <c r="C182" s="79">
        <v>150</v>
      </c>
    </row>
    <row r="183" spans="2:3">
      <c r="B183" s="78" t="s">
        <v>1102</v>
      </c>
      <c r="C183" s="79">
        <v>300</v>
      </c>
    </row>
    <row r="184" spans="2:3">
      <c r="B184" s="78" t="s">
        <v>1103</v>
      </c>
      <c r="C184" s="79">
        <v>200</v>
      </c>
    </row>
    <row r="185" spans="2:3">
      <c r="B185" s="78" t="s">
        <v>1104</v>
      </c>
      <c r="C185" s="79">
        <v>250</v>
      </c>
    </row>
    <row r="186" spans="2:3">
      <c r="B186" s="78" t="s">
        <v>1105</v>
      </c>
      <c r="C186" s="79">
        <v>150</v>
      </c>
    </row>
    <row r="187" spans="2:3">
      <c r="B187" s="78" t="s">
        <v>1106</v>
      </c>
      <c r="C187" s="79">
        <v>300</v>
      </c>
    </row>
    <row r="188" spans="2:3">
      <c r="B188" s="80" t="s">
        <v>1107</v>
      </c>
      <c r="C188" s="81">
        <v>200</v>
      </c>
    </row>
    <row r="190" spans="2:3" ht="15" customHeight="1">
      <c r="B190" s="569" t="s">
        <v>1116</v>
      </c>
      <c r="C190" s="569"/>
    </row>
    <row r="192" spans="2:3">
      <c r="B192" s="425" t="s">
        <v>1113</v>
      </c>
      <c r="C192" s="398">
        <f>AVERAGE(C179:C188)</f>
        <v>215</v>
      </c>
    </row>
    <row r="193" spans="2:4">
      <c r="B193" s="105" t="s">
        <v>1114</v>
      </c>
      <c r="C193" s="24">
        <f>MEDIAN(C179:C188)</f>
        <v>200</v>
      </c>
    </row>
    <row r="194" spans="2:4">
      <c r="B194" s="106" t="s">
        <v>1115</v>
      </c>
      <c r="C194" s="26">
        <f>MODE(C179:C188)</f>
        <v>150</v>
      </c>
      <c r="D194" s="6"/>
    </row>
    <row r="242" spans="2:19">
      <c r="F242" s="469"/>
    </row>
    <row r="243" spans="2:19">
      <c r="B243" s="1"/>
      <c r="D243" s="1"/>
      <c r="F243" s="1"/>
      <c r="M243" s="1"/>
      <c r="O243" s="1"/>
      <c r="Q243" s="1"/>
      <c r="S243" s="1"/>
    </row>
    <row r="245" spans="2:19">
      <c r="B245" s="1"/>
    </row>
    <row r="247" spans="2:19">
      <c r="B247" s="1"/>
    </row>
    <row r="249" spans="2:19">
      <c r="B249" s="1"/>
    </row>
    <row r="251" spans="2:19">
      <c r="B251" s="1"/>
    </row>
    <row r="253" spans="2:19">
      <c r="B253" s="1"/>
    </row>
    <row r="255" spans="2:19">
      <c r="B255" s="1"/>
    </row>
    <row r="267" spans="2:2">
      <c r="B267" s="1"/>
    </row>
    <row r="274" spans="3:5">
      <c r="C274" s="404"/>
      <c r="D274" s="404"/>
      <c r="E274" s="404"/>
    </row>
  </sheetData>
  <mergeCells count="51">
    <mergeCell ref="B61:D61"/>
    <mergeCell ref="F10:G10"/>
    <mergeCell ref="B57:D57"/>
    <mergeCell ref="B58:D58"/>
    <mergeCell ref="B59:D59"/>
    <mergeCell ref="B60:D60"/>
    <mergeCell ref="B190:C190"/>
    <mergeCell ref="B175:C175"/>
    <mergeCell ref="B176:C176"/>
    <mergeCell ref="D159:E159"/>
    <mergeCell ref="B154:D154"/>
    <mergeCell ref="B155:D155"/>
    <mergeCell ref="B156:D156"/>
    <mergeCell ref="D142:E142"/>
    <mergeCell ref="D144:E144"/>
    <mergeCell ref="D146:E146"/>
    <mergeCell ref="B153:D153"/>
    <mergeCell ref="D138:E138"/>
    <mergeCell ref="D140:E140"/>
    <mergeCell ref="B119:F119"/>
    <mergeCell ref="B120:F120"/>
    <mergeCell ref="B121:F121"/>
    <mergeCell ref="D110:E110"/>
    <mergeCell ref="B80:E80"/>
    <mergeCell ref="B115:F115"/>
    <mergeCell ref="B116:F116"/>
    <mergeCell ref="B117:F117"/>
    <mergeCell ref="B118:F118"/>
    <mergeCell ref="B81:E81"/>
    <mergeCell ref="D102:E102"/>
    <mergeCell ref="D104:E104"/>
    <mergeCell ref="D106:E106"/>
    <mergeCell ref="D108:E108"/>
    <mergeCell ref="B82:E82"/>
    <mergeCell ref="B83:E83"/>
    <mergeCell ref="B84:E84"/>
    <mergeCell ref="B85:E85"/>
    <mergeCell ref="B3:G3"/>
    <mergeCell ref="B5:G5"/>
    <mergeCell ref="B9:C9"/>
    <mergeCell ref="B10:C10"/>
    <mergeCell ref="B49:D49"/>
    <mergeCell ref="B50:D50"/>
    <mergeCell ref="B51:D51"/>
    <mergeCell ref="B52:D52"/>
    <mergeCell ref="B53:D53"/>
    <mergeCell ref="B54:D54"/>
    <mergeCell ref="B55:D55"/>
    <mergeCell ref="B56:D56"/>
    <mergeCell ref="B35:D35"/>
    <mergeCell ref="B64:C64"/>
  </mergeCells>
  <phoneticPr fontId="8"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A88F-8697-4E56-B5E6-9384E756DA1F}">
  <sheetPr codeName="Sheet14"/>
  <dimension ref="B1:O149"/>
  <sheetViews>
    <sheetView zoomScale="95" zoomScaleNormal="89" workbookViewId="0">
      <selection activeCell="H23" sqref="H23"/>
    </sheetView>
  </sheetViews>
  <sheetFormatPr defaultRowHeight="15"/>
  <cols>
    <col min="1" max="1" width="9.140625" customWidth="1"/>
    <col min="2" max="7" width="30.7109375" customWidth="1"/>
    <col min="8" max="12" width="30.7109375" style="6" customWidth="1"/>
    <col min="13" max="15" width="15.7109375" style="6" customWidth="1"/>
  </cols>
  <sheetData>
    <row r="1" spans="2:7" ht="15.75" thickBot="1"/>
    <row r="2" spans="2:7" ht="29.25" thickBot="1">
      <c r="B2" s="484" t="s">
        <v>926</v>
      </c>
      <c r="C2" s="485"/>
      <c r="D2" s="485"/>
      <c r="E2" s="485"/>
      <c r="F2" s="485"/>
      <c r="G2" s="486"/>
    </row>
    <row r="4" spans="2:7" ht="28.5">
      <c r="B4" s="487" t="s">
        <v>2201</v>
      </c>
      <c r="C4" s="488"/>
      <c r="D4" s="488"/>
      <c r="E4" s="488"/>
      <c r="F4" s="488"/>
      <c r="G4" s="490"/>
    </row>
    <row r="7" spans="2:7" ht="26.25">
      <c r="B7" s="597" t="s">
        <v>2150</v>
      </c>
      <c r="C7" s="597"/>
    </row>
    <row r="10" spans="2:7" ht="18">
      <c r="B10" s="458" t="s">
        <v>1149</v>
      </c>
    </row>
    <row r="12" spans="2:7">
      <c r="B12" s="263" t="s">
        <v>2237</v>
      </c>
      <c r="C12" s="264" t="s">
        <v>2238</v>
      </c>
      <c r="D12" s="264" t="s">
        <v>2239</v>
      </c>
      <c r="E12" s="264" t="s">
        <v>2240</v>
      </c>
      <c r="F12" s="265" t="s">
        <v>776</v>
      </c>
    </row>
    <row r="13" spans="2:7">
      <c r="B13" s="248" t="s">
        <v>2241</v>
      </c>
      <c r="C13" s="162">
        <v>40</v>
      </c>
      <c r="D13" s="162" t="s">
        <v>2242</v>
      </c>
      <c r="E13" s="162">
        <v>5</v>
      </c>
      <c r="F13" s="251" t="s">
        <v>491</v>
      </c>
    </row>
    <row r="14" spans="2:7">
      <c r="B14" s="248" t="s">
        <v>2243</v>
      </c>
      <c r="C14" s="162">
        <v>35</v>
      </c>
      <c r="D14" s="162" t="s">
        <v>2244</v>
      </c>
      <c r="E14" s="162">
        <v>2</v>
      </c>
      <c r="F14" s="251" t="s">
        <v>2245</v>
      </c>
    </row>
    <row r="15" spans="2:7">
      <c r="B15" s="248" t="s">
        <v>2246</v>
      </c>
      <c r="C15" s="162">
        <v>45</v>
      </c>
      <c r="D15" s="162" t="s">
        <v>2242</v>
      </c>
      <c r="E15" s="162">
        <v>10</v>
      </c>
      <c r="F15" s="251" t="s">
        <v>2247</v>
      </c>
    </row>
    <row r="16" spans="2:7">
      <c r="B16" s="248" t="s">
        <v>2248</v>
      </c>
      <c r="C16" s="162">
        <v>50</v>
      </c>
      <c r="D16" s="162" t="s">
        <v>2242</v>
      </c>
      <c r="E16" s="162">
        <v>0</v>
      </c>
      <c r="F16" s="251" t="s">
        <v>2247</v>
      </c>
    </row>
    <row r="17" spans="2:9">
      <c r="B17" s="248" t="s">
        <v>2249</v>
      </c>
      <c r="C17" s="162">
        <v>30</v>
      </c>
      <c r="D17" s="162" t="s">
        <v>2244</v>
      </c>
      <c r="E17" s="162">
        <v>8</v>
      </c>
      <c r="F17" s="251" t="s">
        <v>491</v>
      </c>
    </row>
    <row r="18" spans="2:9">
      <c r="B18" s="248" t="s">
        <v>2250</v>
      </c>
      <c r="C18" s="162">
        <v>38</v>
      </c>
      <c r="D18" s="162" t="s">
        <v>2242</v>
      </c>
      <c r="E18" s="162">
        <v>4</v>
      </c>
      <c r="F18" s="251" t="s">
        <v>2245</v>
      </c>
    </row>
    <row r="19" spans="2:9">
      <c r="B19" s="172" t="s">
        <v>2251</v>
      </c>
      <c r="C19" s="252">
        <v>42</v>
      </c>
      <c r="D19" s="252" t="s">
        <v>2244</v>
      </c>
      <c r="E19" s="252">
        <v>6</v>
      </c>
      <c r="F19" s="255" t="s">
        <v>2247</v>
      </c>
    </row>
    <row r="22" spans="2:9">
      <c r="B22" s="416" t="s">
        <v>2210</v>
      </c>
      <c r="C22" s="598" t="s">
        <v>2211</v>
      </c>
      <c r="D22" s="598"/>
      <c r="E22" s="598"/>
      <c r="F22" s="599"/>
    </row>
    <row r="23" spans="2:9">
      <c r="B23" s="78">
        <v>1</v>
      </c>
      <c r="C23" s="569" t="s">
        <v>2253</v>
      </c>
      <c r="D23" s="569"/>
      <c r="E23" s="569"/>
      <c r="F23" s="570"/>
    </row>
    <row r="24" spans="2:9">
      <c r="B24" s="78">
        <v>2</v>
      </c>
      <c r="C24" s="569" t="s">
        <v>2254</v>
      </c>
      <c r="D24" s="569"/>
      <c r="E24" s="569"/>
      <c r="F24" s="570"/>
    </row>
    <row r="25" spans="2:9">
      <c r="B25" s="78">
        <v>3</v>
      </c>
      <c r="C25" s="569" t="s">
        <v>2255</v>
      </c>
      <c r="D25" s="569"/>
      <c r="E25" s="569"/>
      <c r="F25" s="570"/>
    </row>
    <row r="26" spans="2:9">
      <c r="B26" s="78">
        <v>4</v>
      </c>
      <c r="C26" s="569" t="s">
        <v>2256</v>
      </c>
      <c r="D26" s="569"/>
      <c r="E26" s="569"/>
      <c r="F26" s="570"/>
    </row>
    <row r="27" spans="2:9">
      <c r="B27" s="78">
        <v>5</v>
      </c>
      <c r="C27" s="569" t="s">
        <v>2257</v>
      </c>
      <c r="D27" s="569"/>
      <c r="E27" s="569"/>
      <c r="F27" s="570"/>
    </row>
    <row r="28" spans="2:9">
      <c r="B28" s="78">
        <v>6</v>
      </c>
      <c r="C28" s="569" t="s">
        <v>2258</v>
      </c>
      <c r="D28" s="569"/>
      <c r="E28" s="569"/>
      <c r="F28" s="570"/>
    </row>
    <row r="29" spans="2:9">
      <c r="B29" s="80">
        <v>7</v>
      </c>
      <c r="C29" s="584" t="s">
        <v>2259</v>
      </c>
      <c r="D29" s="584"/>
      <c r="E29" s="584"/>
      <c r="F29" s="585"/>
    </row>
    <row r="32" spans="2:9">
      <c r="B32" s="462" t="s">
        <v>2260</v>
      </c>
      <c r="C32" s="463">
        <v>1</v>
      </c>
      <c r="D32" s="463">
        <v>2</v>
      </c>
      <c r="E32" s="463">
        <v>3</v>
      </c>
      <c r="F32" s="463">
        <v>4</v>
      </c>
      <c r="G32" s="463">
        <v>5</v>
      </c>
      <c r="H32" s="463">
        <v>6</v>
      </c>
      <c r="I32" s="464">
        <v>7</v>
      </c>
    </row>
    <row r="33" spans="2:13">
      <c r="B33" s="460" t="s">
        <v>2261</v>
      </c>
      <c r="C33" s="436" t="s">
        <v>2143</v>
      </c>
      <c r="D33" s="436" t="s">
        <v>2144</v>
      </c>
      <c r="E33" s="436" t="s">
        <v>2145</v>
      </c>
      <c r="F33" s="436" t="s">
        <v>2146</v>
      </c>
      <c r="G33" s="436" t="s">
        <v>2147</v>
      </c>
      <c r="H33" s="436" t="s">
        <v>2148</v>
      </c>
      <c r="I33" s="461" t="s">
        <v>2149</v>
      </c>
    </row>
    <row r="34" spans="2:13">
      <c r="B34" s="23">
        <v>1</v>
      </c>
      <c r="C34" s="6" t="str">
        <f>IF($C13&gt;40,"YES","NO")</f>
        <v>NO</v>
      </c>
      <c r="D34" s="6" t="str">
        <f>IF($C13&gt;40,"YES",IF(D13="YES","MET","NOT MET"))</f>
        <v>MET</v>
      </c>
      <c r="E34" s="6" t="b">
        <f>AND(C13&gt;40,E13&gt;5)</f>
        <v>0</v>
      </c>
      <c r="F34" s="6" t="str">
        <f>IF(OR(C13&gt;40,E13&gt;5),"YES","NO")</f>
        <v>NO</v>
      </c>
      <c r="G34" s="6" t="str">
        <f>IF(AND(C13&gt;40,F13="IT"),"YES","NO")</f>
        <v>NO</v>
      </c>
      <c r="H34" s="6" t="str">
        <f>IF(OR(C13&gt;40,F13="Marketing"),"Yes","No")</f>
        <v>No</v>
      </c>
      <c r="I34" s="24" t="str">
        <f>IF(NOT(D13="yes"),"met","not met")</f>
        <v>not met</v>
      </c>
    </row>
    <row r="35" spans="2:13">
      <c r="B35" s="23">
        <v>2</v>
      </c>
      <c r="C35" s="6" t="str">
        <f t="shared" ref="C35:C40" si="0">IF($C14&gt;40,"YES","NO")</f>
        <v>NO</v>
      </c>
      <c r="D35" s="6" t="str">
        <f t="shared" ref="D35:D40" si="1">IF($C14&gt;40,"YES",IF(D14="YES","MET","NOT MET"))</f>
        <v>NOT MET</v>
      </c>
      <c r="E35" s="6" t="b">
        <f t="shared" ref="E35:E40" si="2">AND(C14&gt;40,E14&gt;5)</f>
        <v>0</v>
      </c>
      <c r="F35" s="6" t="str">
        <f t="shared" ref="F35:F40" si="3">IF(OR(C14&gt;40,E14&gt;5),"YES","NO")</f>
        <v>NO</v>
      </c>
      <c r="G35" s="6" t="str">
        <f t="shared" ref="G35:G40" si="4">IF(AND(C14&gt;40,F14="IT"),"YES","NO")</f>
        <v>NO</v>
      </c>
      <c r="H35" s="6" t="str">
        <f t="shared" ref="H35:H40" si="5">IF(OR(C14&gt;40,F14="Marketing"),"Yes","No")</f>
        <v>Yes</v>
      </c>
      <c r="I35" s="24" t="str">
        <f t="shared" ref="I35:I40" si="6">IF(NOT(D14="yes"),"met","not met")</f>
        <v>met</v>
      </c>
    </row>
    <row r="36" spans="2:13">
      <c r="B36" s="23">
        <v>3</v>
      </c>
      <c r="C36" s="6" t="str">
        <f t="shared" si="0"/>
        <v>YES</v>
      </c>
      <c r="D36" s="6" t="str">
        <f t="shared" si="1"/>
        <v>YES</v>
      </c>
      <c r="E36" s="6" t="b">
        <f t="shared" si="2"/>
        <v>1</v>
      </c>
      <c r="F36" s="6" t="str">
        <f t="shared" si="3"/>
        <v>YES</v>
      </c>
      <c r="G36" s="6" t="str">
        <f t="shared" si="4"/>
        <v>YES</v>
      </c>
      <c r="H36" s="6" t="str">
        <f t="shared" si="5"/>
        <v>Yes</v>
      </c>
      <c r="I36" s="24" t="str">
        <f t="shared" si="6"/>
        <v>not met</v>
      </c>
    </row>
    <row r="37" spans="2:13">
      <c r="B37" s="23">
        <v>4</v>
      </c>
      <c r="C37" s="6" t="str">
        <f t="shared" si="0"/>
        <v>YES</v>
      </c>
      <c r="D37" s="6" t="str">
        <f t="shared" si="1"/>
        <v>YES</v>
      </c>
      <c r="E37" s="6" t="b">
        <f t="shared" si="2"/>
        <v>0</v>
      </c>
      <c r="F37" s="6" t="str">
        <f t="shared" si="3"/>
        <v>YES</v>
      </c>
      <c r="G37" s="6" t="str">
        <f t="shared" si="4"/>
        <v>YES</v>
      </c>
      <c r="H37" s="6" t="str">
        <f t="shared" si="5"/>
        <v>Yes</v>
      </c>
      <c r="I37" s="24" t="str">
        <f t="shared" si="6"/>
        <v>not met</v>
      </c>
    </row>
    <row r="38" spans="2:13">
      <c r="B38" s="23">
        <v>5</v>
      </c>
      <c r="C38" s="6" t="str">
        <f t="shared" si="0"/>
        <v>NO</v>
      </c>
      <c r="D38" s="6" t="str">
        <f t="shared" si="1"/>
        <v>NOT MET</v>
      </c>
      <c r="E38" s="6" t="b">
        <f t="shared" si="2"/>
        <v>0</v>
      </c>
      <c r="F38" s="6" t="str">
        <f t="shared" si="3"/>
        <v>YES</v>
      </c>
      <c r="G38" s="6" t="str">
        <f t="shared" si="4"/>
        <v>NO</v>
      </c>
      <c r="H38" s="6" t="str">
        <f t="shared" si="5"/>
        <v>No</v>
      </c>
      <c r="I38" s="24" t="str">
        <f t="shared" si="6"/>
        <v>met</v>
      </c>
    </row>
    <row r="39" spans="2:13">
      <c r="B39" s="23">
        <v>6</v>
      </c>
      <c r="C39" s="6" t="str">
        <f t="shared" si="0"/>
        <v>NO</v>
      </c>
      <c r="D39" s="6" t="str">
        <f t="shared" si="1"/>
        <v>MET</v>
      </c>
      <c r="E39" s="6" t="b">
        <f t="shared" si="2"/>
        <v>0</v>
      </c>
      <c r="F39" s="6" t="str">
        <f t="shared" si="3"/>
        <v>NO</v>
      </c>
      <c r="G39" s="6" t="str">
        <f t="shared" si="4"/>
        <v>NO</v>
      </c>
      <c r="H39" s="6" t="str">
        <f t="shared" si="5"/>
        <v>Yes</v>
      </c>
      <c r="I39" s="24" t="str">
        <f t="shared" si="6"/>
        <v>not met</v>
      </c>
      <c r="J39"/>
      <c r="K39"/>
      <c r="L39"/>
      <c r="M39"/>
    </row>
    <row r="40" spans="2:13">
      <c r="B40" s="25">
        <v>7</v>
      </c>
      <c r="C40" s="126" t="str">
        <f t="shared" si="0"/>
        <v>YES</v>
      </c>
      <c r="D40" s="126" t="str">
        <f t="shared" si="1"/>
        <v>YES</v>
      </c>
      <c r="E40" s="126" t="b">
        <f t="shared" si="2"/>
        <v>1</v>
      </c>
      <c r="F40" s="126" t="str">
        <f t="shared" si="3"/>
        <v>YES</v>
      </c>
      <c r="G40" s="126" t="str">
        <f t="shared" si="4"/>
        <v>YES</v>
      </c>
      <c r="H40" s="126" t="str">
        <f t="shared" si="5"/>
        <v>Yes</v>
      </c>
      <c r="I40" s="26" t="str">
        <f t="shared" si="6"/>
        <v>met</v>
      </c>
      <c r="J40"/>
      <c r="K40"/>
      <c r="L40"/>
      <c r="M40"/>
    </row>
    <row r="41" spans="2:13">
      <c r="I41"/>
      <c r="J41"/>
      <c r="K41"/>
      <c r="L41"/>
      <c r="M41"/>
    </row>
    <row r="42" spans="2:13">
      <c r="H42"/>
      <c r="I42"/>
      <c r="J42"/>
      <c r="K42"/>
      <c r="L42"/>
    </row>
    <row r="43" spans="2:13" ht="26.25">
      <c r="B43" s="597" t="s">
        <v>2252</v>
      </c>
      <c r="C43" s="597"/>
    </row>
    <row r="44" spans="2:13">
      <c r="H44"/>
      <c r="I44"/>
      <c r="J44"/>
      <c r="K44"/>
      <c r="L44"/>
    </row>
    <row r="46" spans="2:13">
      <c r="B46" s="294" t="s">
        <v>1149</v>
      </c>
    </row>
    <row r="48" spans="2:13">
      <c r="B48" s="263" t="s">
        <v>2202</v>
      </c>
      <c r="C48" s="264" t="s">
        <v>2203</v>
      </c>
      <c r="D48" s="264" t="s">
        <v>2204</v>
      </c>
      <c r="E48" s="264" t="s">
        <v>2205</v>
      </c>
      <c r="F48" s="264" t="s">
        <v>2206</v>
      </c>
      <c r="G48" s="265" t="s">
        <v>2264</v>
      </c>
    </row>
    <row r="49" spans="2:7">
      <c r="B49" s="248" t="s">
        <v>2207</v>
      </c>
      <c r="C49" s="249">
        <v>45505</v>
      </c>
      <c r="D49" s="249">
        <v>45514</v>
      </c>
      <c r="E49" s="465">
        <v>0.375</v>
      </c>
      <c r="F49" s="465">
        <v>0.70833333333333337</v>
      </c>
      <c r="G49" s="466" t="s">
        <v>2263</v>
      </c>
    </row>
    <row r="50" spans="2:7">
      <c r="B50" s="248" t="s">
        <v>2208</v>
      </c>
      <c r="C50" s="249">
        <v>45519</v>
      </c>
      <c r="D50" s="249">
        <v>45520</v>
      </c>
      <c r="E50" s="465">
        <v>0.41666666666666669</v>
      </c>
      <c r="F50" s="465">
        <v>0.625</v>
      </c>
      <c r="G50" s="467" t="s">
        <v>2265</v>
      </c>
    </row>
    <row r="51" spans="2:7">
      <c r="B51" s="172" t="s">
        <v>2209</v>
      </c>
      <c r="C51" s="253">
        <v>45534</v>
      </c>
      <c r="D51" s="253">
        <v>45537</v>
      </c>
      <c r="E51" s="455">
        <v>0.33333333333333331</v>
      </c>
      <c r="F51" s="455">
        <v>0.75</v>
      </c>
      <c r="G51" s="17"/>
    </row>
    <row r="54" spans="2:7">
      <c r="B54" s="342" t="s">
        <v>2210</v>
      </c>
      <c r="C54" s="566" t="s">
        <v>2211</v>
      </c>
      <c r="D54" s="566"/>
      <c r="E54" s="566"/>
      <c r="F54" s="566"/>
      <c r="G54" s="567"/>
    </row>
    <row r="55" spans="2:7">
      <c r="B55" s="78">
        <v>1</v>
      </c>
      <c r="C55" s="569" t="s">
        <v>2212</v>
      </c>
      <c r="D55" s="569"/>
      <c r="E55" s="569"/>
      <c r="F55" s="569"/>
      <c r="G55" s="570"/>
    </row>
    <row r="56" spans="2:7" ht="15" customHeight="1">
      <c r="B56" s="78">
        <v>2</v>
      </c>
      <c r="C56" s="569" t="s">
        <v>2213</v>
      </c>
      <c r="D56" s="569"/>
      <c r="E56" s="569"/>
      <c r="F56" s="569"/>
      <c r="G56" s="570"/>
    </row>
    <row r="57" spans="2:7" ht="15" customHeight="1">
      <c r="B57" s="78">
        <v>3</v>
      </c>
      <c r="C57" s="569" t="s">
        <v>2214</v>
      </c>
      <c r="D57" s="569"/>
      <c r="E57" s="569"/>
      <c r="F57" s="569"/>
      <c r="G57" s="570"/>
    </row>
    <row r="58" spans="2:7" ht="15" customHeight="1">
      <c r="B58" s="78">
        <v>4</v>
      </c>
      <c r="C58" s="569" t="s">
        <v>2215</v>
      </c>
      <c r="D58" s="569"/>
      <c r="E58" s="569"/>
      <c r="F58" s="569"/>
      <c r="G58" s="570"/>
    </row>
    <row r="59" spans="2:7" ht="15" customHeight="1">
      <c r="B59" s="78">
        <v>5</v>
      </c>
      <c r="C59" s="569" t="s">
        <v>2216</v>
      </c>
      <c r="D59" s="569"/>
      <c r="E59" s="569"/>
      <c r="F59" s="569"/>
      <c r="G59" s="570"/>
    </row>
    <row r="60" spans="2:7" ht="15" customHeight="1">
      <c r="B60" s="78">
        <v>6</v>
      </c>
      <c r="C60" s="569" t="s">
        <v>2217</v>
      </c>
      <c r="D60" s="569"/>
      <c r="E60" s="569"/>
      <c r="F60" s="569"/>
      <c r="G60" s="570"/>
    </row>
    <row r="61" spans="2:7" ht="15" customHeight="1">
      <c r="B61" s="78">
        <v>7</v>
      </c>
      <c r="C61" s="569" t="s">
        <v>2218</v>
      </c>
      <c r="D61" s="569"/>
      <c r="E61" s="569"/>
      <c r="F61" s="569"/>
      <c r="G61" s="570"/>
    </row>
    <row r="62" spans="2:7" ht="15" customHeight="1">
      <c r="B62" s="78">
        <v>8</v>
      </c>
      <c r="C62" s="569" t="s">
        <v>2219</v>
      </c>
      <c r="D62" s="569"/>
      <c r="E62" s="569"/>
      <c r="F62" s="569"/>
      <c r="G62" s="570"/>
    </row>
    <row r="63" spans="2:7" ht="15" customHeight="1">
      <c r="B63" s="78">
        <v>9</v>
      </c>
      <c r="C63" s="569" t="s">
        <v>2220</v>
      </c>
      <c r="D63" s="569"/>
      <c r="E63" s="569"/>
      <c r="F63" s="569"/>
      <c r="G63" s="570"/>
    </row>
    <row r="64" spans="2:7" ht="15" customHeight="1">
      <c r="B64" s="78">
        <v>10</v>
      </c>
      <c r="C64" s="569" t="s">
        <v>2221</v>
      </c>
      <c r="D64" s="569"/>
      <c r="E64" s="569"/>
      <c r="F64" s="569"/>
      <c r="G64" s="570"/>
    </row>
    <row r="65" spans="2:7" ht="15" customHeight="1">
      <c r="B65" s="78">
        <v>11</v>
      </c>
      <c r="C65" s="569" t="s">
        <v>2222</v>
      </c>
      <c r="D65" s="569"/>
      <c r="E65" s="569"/>
      <c r="F65" s="569"/>
      <c r="G65" s="570"/>
    </row>
    <row r="66" spans="2:7" ht="15" customHeight="1">
      <c r="B66" s="78">
        <v>12</v>
      </c>
      <c r="C66" s="569" t="s">
        <v>2223</v>
      </c>
      <c r="D66" s="569"/>
      <c r="E66" s="569"/>
      <c r="F66" s="569"/>
      <c r="G66" s="570"/>
    </row>
    <row r="67" spans="2:7" ht="15" customHeight="1">
      <c r="B67" s="78">
        <v>13</v>
      </c>
      <c r="C67" s="569" t="s">
        <v>2224</v>
      </c>
      <c r="D67" s="569"/>
      <c r="E67" s="569"/>
      <c r="F67" s="569"/>
      <c r="G67" s="570"/>
    </row>
    <row r="68" spans="2:7" ht="15" customHeight="1">
      <c r="B68" s="78">
        <v>14</v>
      </c>
      <c r="C68" s="569" t="s">
        <v>2225</v>
      </c>
      <c r="D68" s="569"/>
      <c r="E68" s="569"/>
      <c r="F68" s="569"/>
      <c r="G68" s="570"/>
    </row>
    <row r="69" spans="2:7" ht="15" customHeight="1">
      <c r="B69" s="78">
        <v>15</v>
      </c>
      <c r="C69" s="569" t="s">
        <v>2226</v>
      </c>
      <c r="D69" s="569"/>
      <c r="E69" s="569"/>
      <c r="F69" s="569"/>
      <c r="G69" s="570"/>
    </row>
    <row r="70" spans="2:7" ht="15" customHeight="1">
      <c r="B70" s="78">
        <v>16</v>
      </c>
      <c r="C70" s="569" t="s">
        <v>2227</v>
      </c>
      <c r="D70" s="569"/>
      <c r="E70" s="569"/>
      <c r="F70" s="569"/>
      <c r="G70" s="570"/>
    </row>
    <row r="71" spans="2:7" ht="15" customHeight="1">
      <c r="B71" s="78">
        <v>17</v>
      </c>
      <c r="C71" s="569" t="s">
        <v>2228</v>
      </c>
      <c r="D71" s="569"/>
      <c r="E71" s="569"/>
      <c r="F71" s="569"/>
      <c r="G71" s="570"/>
    </row>
    <row r="72" spans="2:7" ht="15" customHeight="1">
      <c r="B72" s="78">
        <v>18</v>
      </c>
      <c r="C72" s="569" t="s">
        <v>2229</v>
      </c>
      <c r="D72" s="569"/>
      <c r="E72" s="569"/>
      <c r="F72" s="569"/>
      <c r="G72" s="570"/>
    </row>
    <row r="73" spans="2:7" ht="15" customHeight="1">
      <c r="B73" s="78">
        <v>19</v>
      </c>
      <c r="C73" s="569" t="s">
        <v>2230</v>
      </c>
      <c r="D73" s="569"/>
      <c r="E73" s="569"/>
      <c r="F73" s="569"/>
      <c r="G73" s="570"/>
    </row>
    <row r="74" spans="2:7" ht="15" customHeight="1">
      <c r="B74" s="78">
        <v>20</v>
      </c>
      <c r="C74" s="569" t="s">
        <v>2231</v>
      </c>
      <c r="D74" s="569"/>
      <c r="E74" s="569"/>
      <c r="F74" s="569"/>
      <c r="G74" s="570"/>
    </row>
    <row r="75" spans="2:7" ht="15" customHeight="1">
      <c r="B75" s="78">
        <v>21</v>
      </c>
      <c r="C75" s="569" t="s">
        <v>2232</v>
      </c>
      <c r="D75" s="569"/>
      <c r="E75" s="569"/>
      <c r="F75" s="569"/>
      <c r="G75" s="570"/>
    </row>
    <row r="76" spans="2:7" ht="15" customHeight="1">
      <c r="B76" s="78">
        <v>22</v>
      </c>
      <c r="C76" s="569" t="s">
        <v>2233</v>
      </c>
      <c r="D76" s="569"/>
      <c r="E76" s="569"/>
      <c r="F76" s="569"/>
      <c r="G76" s="570"/>
    </row>
    <row r="77" spans="2:7" ht="15" customHeight="1">
      <c r="B77" s="80">
        <v>23</v>
      </c>
      <c r="C77" s="584" t="s">
        <v>2234</v>
      </c>
      <c r="D77" s="584"/>
      <c r="E77" s="584"/>
      <c r="F77" s="584"/>
      <c r="G77" s="585"/>
    </row>
    <row r="81" spans="2:6">
      <c r="B81" s="399" t="s">
        <v>2262</v>
      </c>
      <c r="C81" s="400" t="s">
        <v>932</v>
      </c>
      <c r="D81" s="400" t="s">
        <v>2236</v>
      </c>
      <c r="E81" s="579" t="s">
        <v>2235</v>
      </c>
      <c r="F81" s="580"/>
    </row>
    <row r="82" spans="2:6">
      <c r="B82" s="23">
        <v>1</v>
      </c>
      <c r="C82" s="1" t="s">
        <v>251</v>
      </c>
      <c r="D82" s="457">
        <f ca="1">TODAY()</f>
        <v>45722</v>
      </c>
      <c r="E82" s="593"/>
      <c r="F82" s="594"/>
    </row>
    <row r="83" spans="2:6">
      <c r="B83" s="23">
        <v>2</v>
      </c>
      <c r="C83" s="1" t="s">
        <v>252</v>
      </c>
      <c r="D83" s="456">
        <f ca="1">NOW()</f>
        <v>45722.797022453706</v>
      </c>
      <c r="E83" s="593"/>
      <c r="F83" s="594"/>
    </row>
    <row r="84" spans="2:6">
      <c r="B84" s="23">
        <v>3</v>
      </c>
      <c r="C84" s="1" t="s">
        <v>2119</v>
      </c>
      <c r="D84" s="1">
        <f>DAY(C49)</f>
        <v>1</v>
      </c>
      <c r="E84" s="593"/>
      <c r="F84" s="594"/>
    </row>
    <row r="85" spans="2:6">
      <c r="B85" s="23">
        <v>4</v>
      </c>
      <c r="C85" s="1" t="s">
        <v>2120</v>
      </c>
      <c r="D85" s="1">
        <f>MONTH(C51-C49)</f>
        <v>1</v>
      </c>
      <c r="E85" s="593"/>
      <c r="F85" s="594"/>
    </row>
    <row r="86" spans="2:6">
      <c r="B86" s="23">
        <v>5</v>
      </c>
      <c r="C86" s="1" t="s">
        <v>393</v>
      </c>
      <c r="D86" s="1">
        <f>YEAR(C49)</f>
        <v>2024</v>
      </c>
      <c r="E86" s="593"/>
      <c r="F86" s="594"/>
    </row>
    <row r="87" spans="2:6">
      <c r="B87" s="23">
        <v>6</v>
      </c>
      <c r="C87" s="1" t="s">
        <v>23</v>
      </c>
      <c r="D87" s="457">
        <f>DATE(2024,8,1)</f>
        <v>45505</v>
      </c>
      <c r="E87" s="593"/>
      <c r="F87" s="594"/>
    </row>
    <row r="88" spans="2:6">
      <c r="B88" s="23">
        <v>7</v>
      </c>
      <c r="C88" s="1" t="s">
        <v>2124</v>
      </c>
      <c r="D88" s="468">
        <f>TIMEVALUE(G50)</f>
        <v>0.375</v>
      </c>
      <c r="E88" s="593"/>
      <c r="F88" s="594"/>
    </row>
    <row r="89" spans="2:6">
      <c r="B89" s="23">
        <v>8</v>
      </c>
      <c r="C89" s="1" t="s">
        <v>2121</v>
      </c>
      <c r="D89" s="1">
        <f>HOUR(E49)</f>
        <v>9</v>
      </c>
      <c r="E89" s="593"/>
      <c r="F89" s="594"/>
    </row>
    <row r="90" spans="2:6">
      <c r="B90" s="23">
        <v>9</v>
      </c>
      <c r="C90" s="1" t="s">
        <v>2122</v>
      </c>
      <c r="D90" s="1">
        <f>MINUTE(E49)</f>
        <v>0</v>
      </c>
      <c r="E90" s="593"/>
      <c r="F90" s="594"/>
    </row>
    <row r="91" spans="2:6">
      <c r="B91" s="23">
        <v>10</v>
      </c>
      <c r="C91" s="1" t="s">
        <v>2123</v>
      </c>
      <c r="D91" s="1">
        <f>SECOND(E49)</f>
        <v>0</v>
      </c>
      <c r="E91" s="593"/>
      <c r="F91" s="594"/>
    </row>
    <row r="92" spans="2:6">
      <c r="B92" s="23">
        <v>11</v>
      </c>
      <c r="C92" s="1" t="s">
        <v>2125</v>
      </c>
      <c r="D92" s="1">
        <f>_xlfn.DAYS(D49,C49)</f>
        <v>9</v>
      </c>
      <c r="E92" s="593"/>
      <c r="F92" s="594"/>
    </row>
    <row r="93" spans="2:6">
      <c r="B93" s="23">
        <v>12</v>
      </c>
      <c r="C93" s="1" t="s">
        <v>2126</v>
      </c>
      <c r="D93" s="1">
        <f>DAYS360(C49,D49)</f>
        <v>9</v>
      </c>
      <c r="E93" s="593"/>
      <c r="F93" s="594"/>
    </row>
    <row r="94" spans="2:6">
      <c r="B94" s="23">
        <v>13</v>
      </c>
      <c r="C94" s="1" t="s">
        <v>2127</v>
      </c>
      <c r="D94" s="1">
        <f>WEEKDAY(C49,1)</f>
        <v>5</v>
      </c>
      <c r="E94" s="593"/>
      <c r="F94" s="594"/>
    </row>
    <row r="95" spans="2:6">
      <c r="B95" s="23">
        <v>14</v>
      </c>
      <c r="C95" s="1" t="s">
        <v>2128</v>
      </c>
      <c r="D95" s="1">
        <f>WEEKNUM(C49)</f>
        <v>31</v>
      </c>
      <c r="E95" s="593"/>
      <c r="F95" s="594"/>
    </row>
    <row r="96" spans="2:6">
      <c r="B96" s="23">
        <v>15</v>
      </c>
      <c r="C96" s="1" t="s">
        <v>2129</v>
      </c>
      <c r="D96" s="459">
        <f>DATEVALUE(G49)</f>
        <v>45505</v>
      </c>
      <c r="E96" s="593"/>
      <c r="F96" s="594"/>
    </row>
    <row r="97" spans="2:11">
      <c r="B97" s="23">
        <v>16</v>
      </c>
      <c r="C97" s="1" t="s">
        <v>2130</v>
      </c>
      <c r="D97" s="468">
        <f>TIMEVALUE(G50)</f>
        <v>0.375</v>
      </c>
      <c r="E97" s="593"/>
      <c r="F97" s="594"/>
    </row>
    <row r="98" spans="2:11">
      <c r="B98" s="23">
        <v>17</v>
      </c>
      <c r="C98" s="1" t="s">
        <v>2131</v>
      </c>
      <c r="D98" s="1">
        <f>NETWORKDAYS(C49,D49)</f>
        <v>7</v>
      </c>
      <c r="E98" s="593" t="s">
        <v>2140</v>
      </c>
      <c r="F98" s="594"/>
    </row>
    <row r="99" spans="2:11">
      <c r="B99" s="23">
        <v>18</v>
      </c>
      <c r="C99" s="1" t="s">
        <v>2132</v>
      </c>
      <c r="D99" s="1">
        <f>NETWORKDAYS.INTL(C49,D49,7)</f>
        <v>6</v>
      </c>
      <c r="E99" s="593" t="s">
        <v>2139</v>
      </c>
      <c r="F99" s="594"/>
    </row>
    <row r="100" spans="2:11">
      <c r="B100" s="23">
        <v>19</v>
      </c>
      <c r="C100" s="1" t="s">
        <v>2133</v>
      </c>
      <c r="D100" s="459">
        <f>WORKDAY(D49,1)</f>
        <v>45516</v>
      </c>
      <c r="E100" s="593" t="s">
        <v>2138</v>
      </c>
      <c r="F100" s="594"/>
    </row>
    <row r="101" spans="2:11">
      <c r="B101" s="23">
        <v>20</v>
      </c>
      <c r="C101" s="1" t="s">
        <v>2134</v>
      </c>
      <c r="D101" s="459">
        <f>WORKDAY.INTL(D49,1,7)</f>
        <v>45515</v>
      </c>
      <c r="E101" s="593" t="s">
        <v>2139</v>
      </c>
      <c r="F101" s="594"/>
    </row>
    <row r="102" spans="2:11">
      <c r="B102" s="23">
        <v>21</v>
      </c>
      <c r="C102" s="1" t="s">
        <v>2135</v>
      </c>
      <c r="D102" s="459">
        <f>EOMONTH(D49,0)</f>
        <v>45535</v>
      </c>
      <c r="E102" s="593" t="s">
        <v>2141</v>
      </c>
      <c r="F102" s="594"/>
    </row>
    <row r="103" spans="2:11">
      <c r="B103" s="23">
        <v>22</v>
      </c>
      <c r="C103" s="1" t="s">
        <v>2136</v>
      </c>
      <c r="D103" s="459">
        <f>EDATE(C49,1)</f>
        <v>45536</v>
      </c>
      <c r="E103" s="593"/>
      <c r="F103" s="594" t="s">
        <v>2142</v>
      </c>
    </row>
    <row r="104" spans="2:11">
      <c r="B104" s="25">
        <v>23</v>
      </c>
      <c r="C104" s="370" t="s">
        <v>2137</v>
      </c>
      <c r="D104" s="370">
        <f>YEARFRAC(C49,D49)</f>
        <v>2.5000000000000001E-2</v>
      </c>
      <c r="E104" s="595"/>
      <c r="F104" s="596"/>
    </row>
    <row r="108" spans="2:11" ht="18">
      <c r="B108" s="320" t="s">
        <v>2270</v>
      </c>
      <c r="H108"/>
      <c r="I108"/>
      <c r="J108"/>
      <c r="K108"/>
    </row>
    <row r="109" spans="2:11">
      <c r="H109"/>
      <c r="I109"/>
      <c r="J109"/>
      <c r="K109"/>
    </row>
    <row r="110" spans="2:11">
      <c r="B110" s="530" t="s">
        <v>1145</v>
      </c>
      <c r="C110" s="530"/>
      <c r="D110" s="530"/>
      <c r="E110" s="530"/>
      <c r="F110" s="530"/>
      <c r="H110"/>
      <c r="I110"/>
      <c r="J110"/>
      <c r="K110"/>
    </row>
    <row r="111" spans="2:11">
      <c r="B111" s="60"/>
      <c r="H111"/>
      <c r="I111"/>
      <c r="J111"/>
      <c r="K111"/>
    </row>
    <row r="112" spans="2:11">
      <c r="B112" s="531" t="s">
        <v>1146</v>
      </c>
      <c r="C112" s="531"/>
      <c r="D112" s="531"/>
      <c r="E112" s="531"/>
      <c r="H112"/>
      <c r="I112"/>
      <c r="J112"/>
      <c r="K112"/>
    </row>
    <row r="113" spans="2:11">
      <c r="B113" s="531" t="s">
        <v>1147</v>
      </c>
      <c r="C113" s="531"/>
      <c r="D113" s="531"/>
      <c r="E113" s="531"/>
      <c r="H113"/>
      <c r="I113"/>
      <c r="J113"/>
      <c r="K113"/>
    </row>
    <row r="114" spans="2:11">
      <c r="B114" s="531"/>
      <c r="C114" s="531"/>
      <c r="D114" s="531"/>
      <c r="E114" s="531"/>
      <c r="H114"/>
      <c r="I114"/>
      <c r="J114"/>
      <c r="K114"/>
    </row>
    <row r="115" spans="2:11">
      <c r="B115" s="531" t="s">
        <v>1148</v>
      </c>
      <c r="C115" s="531"/>
      <c r="D115" s="531"/>
      <c r="E115" s="531"/>
      <c r="H115"/>
      <c r="I115"/>
      <c r="J115"/>
      <c r="K115"/>
    </row>
    <row r="116" spans="2:11">
      <c r="H116"/>
      <c r="I116"/>
      <c r="J116"/>
      <c r="K116"/>
    </row>
    <row r="117" spans="2:11">
      <c r="B117" s="149" t="s">
        <v>1149</v>
      </c>
      <c r="H117"/>
      <c r="I117"/>
      <c r="J117"/>
      <c r="K117"/>
    </row>
    <row r="118" spans="2:11">
      <c r="H118"/>
      <c r="I118"/>
      <c r="J118"/>
      <c r="K118"/>
    </row>
    <row r="119" spans="2:11">
      <c r="B119" s="349" t="s">
        <v>768</v>
      </c>
      <c r="C119" s="350" t="s">
        <v>1150</v>
      </c>
      <c r="D119" s="350" t="s">
        <v>1151</v>
      </c>
      <c r="E119" s="426" t="s">
        <v>1152</v>
      </c>
      <c r="H119"/>
      <c r="I119"/>
      <c r="J119"/>
      <c r="K119"/>
    </row>
    <row r="120" spans="2:11">
      <c r="B120" s="78">
        <v>70</v>
      </c>
      <c r="C120" s="69" t="s">
        <v>1153</v>
      </c>
      <c r="D120" s="69">
        <v>120</v>
      </c>
      <c r="E120" s="79" t="str">
        <f t="shared" ref="E120:E125" si="7">IF(AND(OR(B120&gt;=65,C120="Y"),(D120&gt;=100)),"True","false")</f>
        <v>True</v>
      </c>
      <c r="H120"/>
      <c r="I120"/>
      <c r="J120"/>
      <c r="K120"/>
    </row>
    <row r="121" spans="2:11">
      <c r="B121" s="78">
        <v>20</v>
      </c>
      <c r="C121" s="69" t="s">
        <v>1154</v>
      </c>
      <c r="D121" s="69">
        <v>90</v>
      </c>
      <c r="E121" s="79" t="str">
        <f t="shared" si="7"/>
        <v>false</v>
      </c>
      <c r="H121"/>
      <c r="I121"/>
      <c r="J121"/>
      <c r="K121"/>
    </row>
    <row r="122" spans="2:11">
      <c r="B122" s="78">
        <v>22</v>
      </c>
      <c r="C122" s="69" t="s">
        <v>1153</v>
      </c>
      <c r="D122" s="69">
        <v>150</v>
      </c>
      <c r="E122" s="79" t="str">
        <f t="shared" si="7"/>
        <v>false</v>
      </c>
      <c r="H122"/>
      <c r="I122"/>
      <c r="J122"/>
      <c r="K122"/>
    </row>
    <row r="123" spans="2:11">
      <c r="B123" s="78">
        <v>66</v>
      </c>
      <c r="C123" s="69" t="s">
        <v>1154</v>
      </c>
      <c r="D123" s="69">
        <v>200</v>
      </c>
      <c r="E123" s="79" t="str">
        <f t="shared" si="7"/>
        <v>True</v>
      </c>
      <c r="H123"/>
      <c r="I123"/>
      <c r="J123"/>
      <c r="K123"/>
    </row>
    <row r="124" spans="2:11">
      <c r="B124" s="78">
        <v>64</v>
      </c>
      <c r="C124" s="69" t="s">
        <v>1153</v>
      </c>
      <c r="D124" s="69">
        <v>80</v>
      </c>
      <c r="E124" s="79" t="str">
        <f t="shared" si="7"/>
        <v>false</v>
      </c>
      <c r="H124"/>
      <c r="I124"/>
      <c r="J124"/>
      <c r="K124"/>
    </row>
    <row r="125" spans="2:11">
      <c r="B125" s="80">
        <v>18</v>
      </c>
      <c r="C125" s="70" t="s">
        <v>1154</v>
      </c>
      <c r="D125" s="70">
        <v>110</v>
      </c>
      <c r="E125" s="81" t="str">
        <f t="shared" si="7"/>
        <v>True</v>
      </c>
      <c r="H125"/>
      <c r="I125"/>
      <c r="J125"/>
      <c r="K125"/>
    </row>
    <row r="126" spans="2:11">
      <c r="H126"/>
      <c r="I126"/>
      <c r="J126"/>
      <c r="K126"/>
    </row>
    <row r="127" spans="2:11">
      <c r="H127"/>
      <c r="I127"/>
      <c r="J127"/>
      <c r="K127"/>
    </row>
    <row r="128" spans="2:11">
      <c r="B128" s="586" t="s">
        <v>1175</v>
      </c>
      <c r="C128" s="587"/>
      <c r="D128" s="587"/>
      <c r="E128" s="587"/>
      <c r="F128" s="588"/>
      <c r="H128"/>
      <c r="I128"/>
      <c r="J128"/>
      <c r="K128"/>
    </row>
    <row r="129" spans="2:11">
      <c r="B129" s="589" t="s">
        <v>1176</v>
      </c>
      <c r="C129" s="528"/>
      <c r="D129" s="528"/>
      <c r="E129" s="528"/>
      <c r="F129" s="590"/>
      <c r="H129"/>
      <c r="I129"/>
      <c r="J129"/>
      <c r="K129"/>
    </row>
    <row r="130" spans="2:11">
      <c r="B130" s="577"/>
      <c r="C130" s="527"/>
      <c r="D130" s="527"/>
      <c r="E130" s="527"/>
      <c r="F130" s="578"/>
      <c r="H130"/>
      <c r="I130"/>
      <c r="J130"/>
      <c r="K130"/>
    </row>
    <row r="131" spans="2:11">
      <c r="B131" s="591" t="s">
        <v>1177</v>
      </c>
      <c r="C131" s="529"/>
      <c r="D131" s="529"/>
      <c r="E131" s="529"/>
      <c r="F131" s="592"/>
      <c r="H131"/>
      <c r="I131"/>
      <c r="J131"/>
      <c r="K131"/>
    </row>
    <row r="132" spans="2:11">
      <c r="B132" s="556" t="s">
        <v>1156</v>
      </c>
      <c r="C132" s="530"/>
      <c r="D132" s="530"/>
      <c r="E132" s="530"/>
      <c r="F132" s="557"/>
      <c r="H132"/>
      <c r="I132"/>
      <c r="J132"/>
      <c r="K132"/>
    </row>
    <row r="133" spans="2:11">
      <c r="B133" s="556" t="s">
        <v>1157</v>
      </c>
      <c r="C133" s="530"/>
      <c r="D133" s="530"/>
      <c r="E133" s="530"/>
      <c r="F133" s="557"/>
      <c r="H133"/>
      <c r="I133"/>
      <c r="J133"/>
      <c r="K133"/>
    </row>
    <row r="134" spans="2:11">
      <c r="B134" s="556" t="s">
        <v>1158</v>
      </c>
      <c r="C134" s="530"/>
      <c r="D134" s="530"/>
      <c r="E134" s="530"/>
      <c r="F134" s="557"/>
      <c r="H134"/>
      <c r="I134"/>
      <c r="J134"/>
      <c r="K134"/>
    </row>
    <row r="135" spans="2:11">
      <c r="B135" s="556" t="s">
        <v>1159</v>
      </c>
      <c r="C135" s="530"/>
      <c r="D135" s="530"/>
      <c r="E135" s="530"/>
      <c r="F135" s="557"/>
      <c r="H135"/>
      <c r="I135"/>
      <c r="J135"/>
      <c r="K135"/>
    </row>
    <row r="136" spans="2:11">
      <c r="B136" s="558"/>
      <c r="C136" s="559"/>
      <c r="D136" s="559"/>
      <c r="E136" s="559"/>
      <c r="F136" s="560"/>
      <c r="H136"/>
      <c r="I136"/>
      <c r="J136"/>
      <c r="K136"/>
    </row>
    <row r="137" spans="2:11">
      <c r="H137"/>
      <c r="I137"/>
      <c r="J137"/>
      <c r="K137"/>
    </row>
    <row r="138" spans="2:11" ht="18">
      <c r="B138" s="74" t="s">
        <v>947</v>
      </c>
      <c r="H138"/>
      <c r="I138"/>
      <c r="J138"/>
      <c r="K138"/>
    </row>
    <row r="139" spans="2:11">
      <c r="H139"/>
      <c r="I139"/>
      <c r="J139"/>
      <c r="K139"/>
    </row>
    <row r="140" spans="2:11">
      <c r="B140" s="574" t="s">
        <v>1178</v>
      </c>
      <c r="C140" s="575"/>
      <c r="D140" s="575"/>
      <c r="E140" s="575"/>
      <c r="F140" s="576"/>
      <c r="H140"/>
      <c r="I140"/>
      <c r="J140"/>
      <c r="K140"/>
    </row>
    <row r="141" spans="2:11">
      <c r="B141" s="558" t="s">
        <v>1179</v>
      </c>
      <c r="C141" s="559"/>
      <c r="D141" s="559"/>
      <c r="E141" s="559"/>
      <c r="F141" s="560"/>
      <c r="H141"/>
      <c r="I141"/>
      <c r="J141"/>
      <c r="K141"/>
    </row>
    <row r="142" spans="2:11">
      <c r="H142"/>
      <c r="I142"/>
      <c r="J142"/>
      <c r="K142"/>
    </row>
    <row r="143" spans="2:11">
      <c r="B143" s="342" t="s">
        <v>1160</v>
      </c>
      <c r="C143" s="348" t="s">
        <v>1161</v>
      </c>
      <c r="D143" s="348" t="s">
        <v>1162</v>
      </c>
      <c r="E143" s="348" t="s">
        <v>1163</v>
      </c>
      <c r="F143" s="348" t="s">
        <v>1164</v>
      </c>
      <c r="G143" s="348" t="s">
        <v>775</v>
      </c>
      <c r="H143" s="463" t="s">
        <v>2266</v>
      </c>
      <c r="I143" s="463" t="s">
        <v>2267</v>
      </c>
      <c r="J143" s="463" t="s">
        <v>2268</v>
      </c>
      <c r="K143" s="464" t="s">
        <v>2269</v>
      </c>
    </row>
    <row r="144" spans="2:11">
      <c r="B144" s="78" t="s">
        <v>1165</v>
      </c>
      <c r="C144" s="470">
        <v>1200000</v>
      </c>
      <c r="D144" s="69">
        <v>15</v>
      </c>
      <c r="E144" s="69">
        <v>4.7</v>
      </c>
      <c r="F144" s="471">
        <v>0.02</v>
      </c>
      <c r="G144" s="69" t="s">
        <v>1166</v>
      </c>
      <c r="H144" s="69" t="str">
        <f t="shared" ref="H144:H149" si="8">IF(C144&gt;1000000,"cross 1 million","Did not cross 1 million")</f>
        <v>cross 1 million</v>
      </c>
      <c r="I144" s="69" t="str">
        <f t="shared" ref="I144:I149" si="9">IF(D144&gt;=10,"sold more than 10 stores","did not sold more then 10 stores")</f>
        <v>sold more than 10 stores</v>
      </c>
      <c r="J144" s="69" t="str">
        <f>IF(AND(G144 = "Electronics",AVERAGE(E144:E149)&gt;4.5),"high rating Product","Average  rating Product")</f>
        <v>high rating Product</v>
      </c>
      <c r="K144" s="79" t="str">
        <f t="shared" ref="K144:K149" si="10">IF(AND(G144 = "Furniture",F144&gt;5%),"long term use product","short term use product")</f>
        <v>short term use product</v>
      </c>
    </row>
    <row r="145" spans="2:11">
      <c r="B145" s="78" t="s">
        <v>1167</v>
      </c>
      <c r="C145" s="470">
        <v>900000</v>
      </c>
      <c r="D145" s="69">
        <v>8</v>
      </c>
      <c r="E145" s="69">
        <v>4.8</v>
      </c>
      <c r="F145" s="471">
        <v>0.01</v>
      </c>
      <c r="G145" s="69" t="s">
        <v>1168</v>
      </c>
      <c r="H145" s="69" t="str">
        <f t="shared" si="8"/>
        <v>Did not cross 1 million</v>
      </c>
      <c r="I145" s="69" t="str">
        <f t="shared" si="9"/>
        <v>did not sold more then 10 stores</v>
      </c>
      <c r="J145" s="69" t="str">
        <f>IF(AND(G145 = "Electronics",AVERAGE(E145:E149)&gt;4.5),"high rating Product","Average  rating Product")</f>
        <v>Average  rating Product</v>
      </c>
      <c r="K145" s="79" t="str">
        <f t="shared" si="10"/>
        <v>short term use product</v>
      </c>
    </row>
    <row r="146" spans="2:11">
      <c r="B146" s="78" t="s">
        <v>1170</v>
      </c>
      <c r="C146" s="470">
        <v>2000000</v>
      </c>
      <c r="D146" s="69">
        <v>20</v>
      </c>
      <c r="E146" s="69">
        <v>4.9000000000000004</v>
      </c>
      <c r="F146" s="471">
        <v>0.06</v>
      </c>
      <c r="G146" s="69" t="s">
        <v>1171</v>
      </c>
      <c r="H146" s="69" t="str">
        <f t="shared" si="8"/>
        <v>cross 1 million</v>
      </c>
      <c r="I146" s="69" t="str">
        <f t="shared" si="9"/>
        <v>sold more than 10 stores</v>
      </c>
      <c r="J146" s="69" t="str">
        <f>IF(AND(G146 = "Electronics",AVERAGE(E146:E149)&gt;4.5),"high rating Product","Average  rating Product")</f>
        <v>Average  rating Product</v>
      </c>
      <c r="K146" s="79" t="str">
        <f t="shared" si="10"/>
        <v>short term use product</v>
      </c>
    </row>
    <row r="147" spans="2:11">
      <c r="B147" s="78" t="s">
        <v>1172</v>
      </c>
      <c r="C147" s="470">
        <v>800000</v>
      </c>
      <c r="D147" s="69">
        <v>5</v>
      </c>
      <c r="E147" s="69">
        <v>4.5999999999999996</v>
      </c>
      <c r="F147" s="471">
        <v>0.04</v>
      </c>
      <c r="G147" s="69" t="s">
        <v>1166</v>
      </c>
      <c r="H147" s="69" t="str">
        <f t="shared" si="8"/>
        <v>Did not cross 1 million</v>
      </c>
      <c r="I147" s="69" t="str">
        <f t="shared" si="9"/>
        <v>did not sold more then 10 stores</v>
      </c>
      <c r="J147" s="69" t="str">
        <f>IF(AND(G147 = "Electronics",AVERAGE(E147:E149)&gt;4.5),"high rating Product","Average  rating Product")</f>
        <v>Average  rating Product</v>
      </c>
      <c r="K147" s="79" t="str">
        <f t="shared" si="10"/>
        <v>short term use product</v>
      </c>
    </row>
    <row r="148" spans="2:11">
      <c r="B148" s="78" t="s">
        <v>1173</v>
      </c>
      <c r="C148" s="470">
        <v>1300000</v>
      </c>
      <c r="D148" s="69">
        <v>10</v>
      </c>
      <c r="E148" s="69">
        <v>4</v>
      </c>
      <c r="F148" s="471">
        <v>0.04</v>
      </c>
      <c r="G148" s="69" t="s">
        <v>1168</v>
      </c>
      <c r="H148" s="69" t="str">
        <f t="shared" si="8"/>
        <v>cross 1 million</v>
      </c>
      <c r="I148" s="69" t="str">
        <f t="shared" si="9"/>
        <v>sold more than 10 stores</v>
      </c>
      <c r="J148" s="69" t="str">
        <f>IF(AND(G148 = "Electronics",AVERAGE(E148:E149)&gt;4.5),"high rating Product","Average  rating Product")</f>
        <v>Average  rating Product</v>
      </c>
      <c r="K148" s="79" t="str">
        <f t="shared" si="10"/>
        <v>short term use product</v>
      </c>
    </row>
    <row r="149" spans="2:11">
      <c r="B149" s="80" t="s">
        <v>1174</v>
      </c>
      <c r="C149" s="351">
        <v>1100000</v>
      </c>
      <c r="D149" s="70">
        <v>15</v>
      </c>
      <c r="E149" s="70">
        <v>4.8</v>
      </c>
      <c r="F149" s="472">
        <v>0.04</v>
      </c>
      <c r="G149" s="70" t="s">
        <v>1169</v>
      </c>
      <c r="H149" s="70" t="str">
        <f t="shared" si="8"/>
        <v>cross 1 million</v>
      </c>
      <c r="I149" s="70" t="str">
        <f t="shared" si="9"/>
        <v>sold more than 10 stores</v>
      </c>
      <c r="J149" s="70" t="str">
        <f>IF(AND(G149 = "Electronics",AVERAGE(E149:E149)&gt;4.5),"high rating Product","Average  rating Product")</f>
        <v>Average  rating Product</v>
      </c>
      <c r="K149" s="81" t="str">
        <f t="shared" si="10"/>
        <v>short term use product</v>
      </c>
    </row>
  </sheetData>
  <mergeCells count="76">
    <mergeCell ref="C28:F28"/>
    <mergeCell ref="C29:F29"/>
    <mergeCell ref="E89:F89"/>
    <mergeCell ref="E90:F90"/>
    <mergeCell ref="B7:C7"/>
    <mergeCell ref="B43:C43"/>
    <mergeCell ref="C22:F22"/>
    <mergeCell ref="C23:F23"/>
    <mergeCell ref="C24:F24"/>
    <mergeCell ref="C25:F25"/>
    <mergeCell ref="C26:F26"/>
    <mergeCell ref="C27:F27"/>
    <mergeCell ref="C54:G54"/>
    <mergeCell ref="C55:G55"/>
    <mergeCell ref="C56:G56"/>
    <mergeCell ref="C57:G57"/>
    <mergeCell ref="E103:F103"/>
    <mergeCell ref="E104:F104"/>
    <mergeCell ref="E81:F81"/>
    <mergeCell ref="E82:F82"/>
    <mergeCell ref="E83:F83"/>
    <mergeCell ref="E84:F84"/>
    <mergeCell ref="E85:F85"/>
    <mergeCell ref="E86:F86"/>
    <mergeCell ref="E87:F87"/>
    <mergeCell ref="E88:F88"/>
    <mergeCell ref="E97:F97"/>
    <mergeCell ref="E98:F98"/>
    <mergeCell ref="E99:F99"/>
    <mergeCell ref="E100:F100"/>
    <mergeCell ref="E101:F101"/>
    <mergeCell ref="E102:F102"/>
    <mergeCell ref="E96:F96"/>
    <mergeCell ref="C76:G76"/>
    <mergeCell ref="C77:G77"/>
    <mergeCell ref="C68:G68"/>
    <mergeCell ref="C69:G69"/>
    <mergeCell ref="C70:G70"/>
    <mergeCell ref="C71:G71"/>
    <mergeCell ref="C72:G72"/>
    <mergeCell ref="C73:G73"/>
    <mergeCell ref="C75:G75"/>
    <mergeCell ref="E91:F91"/>
    <mergeCell ref="E92:F92"/>
    <mergeCell ref="E93:F93"/>
    <mergeCell ref="E94:F94"/>
    <mergeCell ref="E95:F95"/>
    <mergeCell ref="B2:G2"/>
    <mergeCell ref="B4:G4"/>
    <mergeCell ref="B110:F110"/>
    <mergeCell ref="B112:E112"/>
    <mergeCell ref="B113:E113"/>
    <mergeCell ref="C58:G58"/>
    <mergeCell ref="C59:G59"/>
    <mergeCell ref="C60:G60"/>
    <mergeCell ref="C61:G61"/>
    <mergeCell ref="C74:G74"/>
    <mergeCell ref="C64:G64"/>
    <mergeCell ref="C65:G65"/>
    <mergeCell ref="C66:G66"/>
    <mergeCell ref="C67:G67"/>
    <mergeCell ref="C62:G62"/>
    <mergeCell ref="C63:G63"/>
    <mergeCell ref="B114:E114"/>
    <mergeCell ref="B115:E115"/>
    <mergeCell ref="B128:F128"/>
    <mergeCell ref="B129:F129"/>
    <mergeCell ref="B132:F132"/>
    <mergeCell ref="B130:F130"/>
    <mergeCell ref="B131:F131"/>
    <mergeCell ref="B133:F133"/>
    <mergeCell ref="B134:F134"/>
    <mergeCell ref="B140:F140"/>
    <mergeCell ref="B141:F141"/>
    <mergeCell ref="B135:F135"/>
    <mergeCell ref="B136:F136"/>
  </mergeCells>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0E09-E9D0-4E86-9249-D84D7CABE11D}">
  <sheetPr codeName="Sheet15"/>
  <dimension ref="B2:Y272"/>
  <sheetViews>
    <sheetView zoomScale="95" zoomScaleNormal="85" workbookViewId="0">
      <selection activeCell="D265" sqref="D265"/>
    </sheetView>
  </sheetViews>
  <sheetFormatPr defaultRowHeight="15"/>
  <cols>
    <col min="3" max="23" width="20.7109375" customWidth="1"/>
    <col min="25" max="25" width="84.42578125" bestFit="1" customWidth="1"/>
  </cols>
  <sheetData>
    <row r="2" spans="3:25" ht="15.75" thickBot="1"/>
    <row r="3" spans="3:25" ht="29.25" thickBot="1">
      <c r="C3" s="484" t="s">
        <v>2164</v>
      </c>
      <c r="D3" s="485"/>
      <c r="E3" s="485"/>
      <c r="F3" s="485"/>
      <c r="G3" s="485"/>
      <c r="H3" s="486"/>
      <c r="I3" s="295"/>
      <c r="J3" s="295"/>
      <c r="K3" s="295"/>
    </row>
    <row r="5" spans="3:25" ht="28.5">
      <c r="C5" s="487" t="s">
        <v>925</v>
      </c>
      <c r="D5" s="488"/>
      <c r="E5" s="488"/>
      <c r="F5" s="488"/>
      <c r="G5" s="488"/>
      <c r="H5" s="490"/>
      <c r="I5" s="310"/>
      <c r="J5" s="310"/>
      <c r="K5" s="310"/>
      <c r="Y5" s="304" t="s">
        <v>933</v>
      </c>
    </row>
    <row r="7" spans="3:25">
      <c r="Y7" s="9" t="s">
        <v>2199</v>
      </c>
    </row>
    <row r="8" spans="3:25" ht="18">
      <c r="C8" s="74" t="s">
        <v>1094</v>
      </c>
    </row>
    <row r="9" spans="3:25" ht="15.75" thickBot="1">
      <c r="D9" s="123">
        <v>1</v>
      </c>
      <c r="E9" s="123">
        <v>2</v>
      </c>
      <c r="F9" s="123">
        <v>3</v>
      </c>
      <c r="G9" s="123">
        <v>4</v>
      </c>
      <c r="H9" s="123">
        <v>5</v>
      </c>
      <c r="I9" s="123">
        <v>6</v>
      </c>
      <c r="J9" s="123">
        <v>7</v>
      </c>
      <c r="Y9" s="18" t="s">
        <v>984</v>
      </c>
    </row>
    <row r="10" spans="3:25" ht="15.75" thickBot="1">
      <c r="C10" s="315" t="s">
        <v>998</v>
      </c>
      <c r="D10" s="316" t="s">
        <v>1056</v>
      </c>
      <c r="E10" s="316" t="s">
        <v>775</v>
      </c>
      <c r="F10" s="316" t="s">
        <v>999</v>
      </c>
      <c r="G10" s="316" t="s">
        <v>1000</v>
      </c>
      <c r="H10" s="316" t="s">
        <v>1001</v>
      </c>
      <c r="I10" s="316" t="s">
        <v>1002</v>
      </c>
      <c r="J10" s="317" t="s">
        <v>1003</v>
      </c>
      <c r="Y10" t="s">
        <v>985</v>
      </c>
    </row>
    <row r="11" spans="3:25">
      <c r="C11" s="248">
        <v>101</v>
      </c>
      <c r="D11" s="162" t="s">
        <v>1004</v>
      </c>
      <c r="E11" s="162" t="s">
        <v>1005</v>
      </c>
      <c r="F11" s="313">
        <v>799</v>
      </c>
      <c r="G11" s="162">
        <v>120</v>
      </c>
      <c r="H11" s="162" t="s">
        <v>1006</v>
      </c>
      <c r="I11" s="162">
        <v>4.5</v>
      </c>
      <c r="J11" s="311">
        <v>0.05</v>
      </c>
      <c r="Y11" t="s">
        <v>989</v>
      </c>
    </row>
    <row r="12" spans="3:25">
      <c r="C12" s="248">
        <v>102</v>
      </c>
      <c r="D12" s="162" t="s">
        <v>1007</v>
      </c>
      <c r="E12" s="162" t="s">
        <v>1005</v>
      </c>
      <c r="F12" s="313">
        <v>699</v>
      </c>
      <c r="G12" s="162">
        <v>85</v>
      </c>
      <c r="H12" s="162" t="s">
        <v>1008</v>
      </c>
      <c r="I12" s="162">
        <v>4</v>
      </c>
      <c r="J12" s="311">
        <v>0.1</v>
      </c>
      <c r="Y12" t="s">
        <v>990</v>
      </c>
    </row>
    <row r="13" spans="3:25">
      <c r="C13" s="248">
        <v>103</v>
      </c>
      <c r="D13" s="162" t="s">
        <v>1009</v>
      </c>
      <c r="E13" s="162" t="s">
        <v>1005</v>
      </c>
      <c r="F13" s="313">
        <v>599</v>
      </c>
      <c r="G13" s="162">
        <v>60</v>
      </c>
      <c r="H13" s="162" t="s">
        <v>1010</v>
      </c>
      <c r="I13" s="162">
        <v>4.7</v>
      </c>
      <c r="J13" s="311">
        <v>0</v>
      </c>
    </row>
    <row r="14" spans="3:25">
      <c r="C14" s="248">
        <v>104</v>
      </c>
      <c r="D14" s="162" t="s">
        <v>1011</v>
      </c>
      <c r="E14" s="162" t="s">
        <v>1005</v>
      </c>
      <c r="F14" s="313">
        <v>729</v>
      </c>
      <c r="G14" s="162">
        <v>150</v>
      </c>
      <c r="H14" s="162" t="s">
        <v>1012</v>
      </c>
      <c r="I14" s="162">
        <v>4.2</v>
      </c>
      <c r="J14" s="311">
        <v>0.15</v>
      </c>
      <c r="Y14" s="9" t="s">
        <v>987</v>
      </c>
    </row>
    <row r="15" spans="3:25">
      <c r="C15" s="248">
        <v>105</v>
      </c>
      <c r="D15" s="162" t="s">
        <v>1013</v>
      </c>
      <c r="E15" s="162" t="s">
        <v>1005</v>
      </c>
      <c r="F15" s="313">
        <v>199</v>
      </c>
      <c r="G15" s="162">
        <v>200</v>
      </c>
      <c r="H15" s="162" t="s">
        <v>1014</v>
      </c>
      <c r="I15" s="162">
        <v>4.8</v>
      </c>
      <c r="J15" s="311">
        <v>0.2</v>
      </c>
      <c r="Y15" t="s">
        <v>986</v>
      </c>
    </row>
    <row r="16" spans="3:25">
      <c r="C16" s="248">
        <v>106</v>
      </c>
      <c r="D16" s="162" t="s">
        <v>1015</v>
      </c>
      <c r="E16" s="162" t="s">
        <v>1005</v>
      </c>
      <c r="F16" s="313">
        <v>249</v>
      </c>
      <c r="G16" s="162">
        <v>100</v>
      </c>
      <c r="H16" s="162" t="s">
        <v>1016</v>
      </c>
      <c r="I16" s="162">
        <v>4.3</v>
      </c>
      <c r="J16" s="311">
        <v>0.05</v>
      </c>
    </row>
    <row r="17" spans="3:25">
      <c r="C17" s="248">
        <v>107</v>
      </c>
      <c r="D17" s="162" t="s">
        <v>1017</v>
      </c>
      <c r="E17" s="162" t="s">
        <v>1005</v>
      </c>
      <c r="F17" s="313">
        <v>899</v>
      </c>
      <c r="G17" s="162">
        <v>130</v>
      </c>
      <c r="H17" s="162" t="s">
        <v>1018</v>
      </c>
      <c r="I17" s="162">
        <v>4.0999999999999996</v>
      </c>
      <c r="J17" s="311">
        <v>0.1</v>
      </c>
      <c r="Y17" s="9" t="s">
        <v>988</v>
      </c>
    </row>
    <row r="18" spans="3:25">
      <c r="C18" s="248">
        <v>108</v>
      </c>
      <c r="D18" s="162" t="s">
        <v>1019</v>
      </c>
      <c r="E18" s="162" t="s">
        <v>1005</v>
      </c>
      <c r="F18" s="313">
        <v>479</v>
      </c>
      <c r="G18" s="162">
        <v>75</v>
      </c>
      <c r="H18" s="162" t="s">
        <v>1020</v>
      </c>
      <c r="I18" s="162">
        <v>4.4000000000000004</v>
      </c>
      <c r="J18" s="311">
        <v>7.0000000000000007E-2</v>
      </c>
      <c r="Y18" t="s">
        <v>991</v>
      </c>
    </row>
    <row r="19" spans="3:25">
      <c r="C19" s="248">
        <v>109</v>
      </c>
      <c r="D19" s="162" t="s">
        <v>1021</v>
      </c>
      <c r="E19" s="162" t="s">
        <v>1005</v>
      </c>
      <c r="F19" s="313">
        <v>599</v>
      </c>
      <c r="G19" s="162">
        <v>80</v>
      </c>
      <c r="H19" s="162" t="s">
        <v>1022</v>
      </c>
      <c r="I19" s="162">
        <v>4</v>
      </c>
      <c r="J19" s="311">
        <v>0.12</v>
      </c>
    </row>
    <row r="20" spans="3:25">
      <c r="C20" s="248">
        <v>110</v>
      </c>
      <c r="D20" s="162" t="s">
        <v>1023</v>
      </c>
      <c r="E20" s="162" t="s">
        <v>1005</v>
      </c>
      <c r="F20" s="313">
        <v>649</v>
      </c>
      <c r="G20" s="162">
        <v>110</v>
      </c>
      <c r="H20" s="162" t="s">
        <v>1024</v>
      </c>
      <c r="I20" s="162">
        <v>4.5</v>
      </c>
      <c r="J20" s="311">
        <v>0.08</v>
      </c>
      <c r="Y20" s="9" t="s">
        <v>995</v>
      </c>
    </row>
    <row r="21" spans="3:25">
      <c r="C21" s="248">
        <v>111</v>
      </c>
      <c r="D21" s="162" t="s">
        <v>1025</v>
      </c>
      <c r="E21" s="162" t="s">
        <v>1005</v>
      </c>
      <c r="F21" s="313">
        <v>399</v>
      </c>
      <c r="G21" s="162">
        <v>90</v>
      </c>
      <c r="H21" s="162" t="s">
        <v>1026</v>
      </c>
      <c r="I21" s="162">
        <v>4.2</v>
      </c>
      <c r="J21" s="311">
        <v>0.06</v>
      </c>
      <c r="Y21" s="9" t="s">
        <v>996</v>
      </c>
    </row>
    <row r="22" spans="3:25">
      <c r="C22" s="248">
        <v>112</v>
      </c>
      <c r="D22" s="162" t="s">
        <v>1027</v>
      </c>
      <c r="E22" s="162" t="s">
        <v>1005</v>
      </c>
      <c r="F22" s="313">
        <v>599</v>
      </c>
      <c r="G22" s="162">
        <v>60</v>
      </c>
      <c r="H22" s="162" t="s">
        <v>1028</v>
      </c>
      <c r="I22" s="162">
        <v>4.0999999999999996</v>
      </c>
      <c r="J22" s="311">
        <v>0.1</v>
      </c>
      <c r="Y22" s="1" t="s">
        <v>992</v>
      </c>
    </row>
    <row r="23" spans="3:25">
      <c r="C23" s="248">
        <v>113</v>
      </c>
      <c r="D23" s="162" t="s">
        <v>1029</v>
      </c>
      <c r="E23" s="162" t="s">
        <v>1005</v>
      </c>
      <c r="F23" s="313">
        <v>799</v>
      </c>
      <c r="G23" s="162">
        <v>95</v>
      </c>
      <c r="H23" s="162" t="s">
        <v>1030</v>
      </c>
      <c r="I23" s="162">
        <v>4.3</v>
      </c>
      <c r="J23" s="311">
        <v>0.04</v>
      </c>
      <c r="Y23" s="1" t="s">
        <v>993</v>
      </c>
    </row>
    <row r="24" spans="3:25">
      <c r="C24" s="248">
        <v>114</v>
      </c>
      <c r="D24" s="162" t="s">
        <v>1031</v>
      </c>
      <c r="E24" s="162" t="s">
        <v>1005</v>
      </c>
      <c r="F24" s="313">
        <v>699</v>
      </c>
      <c r="G24" s="162">
        <v>140</v>
      </c>
      <c r="H24" s="162" t="s">
        <v>1032</v>
      </c>
      <c r="I24" s="162">
        <v>4.5999999999999996</v>
      </c>
      <c r="J24" s="311">
        <v>0.03</v>
      </c>
    </row>
    <row r="25" spans="3:25">
      <c r="C25" s="248">
        <v>115</v>
      </c>
      <c r="D25" s="162" t="s">
        <v>1033</v>
      </c>
      <c r="E25" s="162" t="s">
        <v>1005</v>
      </c>
      <c r="F25" s="313">
        <v>999</v>
      </c>
      <c r="G25" s="162">
        <v>50</v>
      </c>
      <c r="H25" s="162" t="s">
        <v>1034</v>
      </c>
      <c r="I25" s="162">
        <v>4.8</v>
      </c>
      <c r="J25" s="311">
        <v>0</v>
      </c>
      <c r="Y25" s="9" t="s">
        <v>997</v>
      </c>
    </row>
    <row r="26" spans="3:25">
      <c r="C26" s="248">
        <v>116</v>
      </c>
      <c r="D26" s="162" t="s">
        <v>1035</v>
      </c>
      <c r="E26" s="162" t="s">
        <v>1005</v>
      </c>
      <c r="F26" s="313">
        <v>399</v>
      </c>
      <c r="G26" s="162">
        <v>120</v>
      </c>
      <c r="H26" s="162" t="s">
        <v>1036</v>
      </c>
      <c r="I26" s="162">
        <v>4.2</v>
      </c>
      <c r="J26" s="311">
        <v>0.05</v>
      </c>
    </row>
    <row r="27" spans="3:25">
      <c r="C27" s="248">
        <v>117</v>
      </c>
      <c r="D27" s="162" t="s">
        <v>1037</v>
      </c>
      <c r="E27" s="162" t="s">
        <v>1005</v>
      </c>
      <c r="F27" s="313">
        <v>549</v>
      </c>
      <c r="G27" s="162">
        <v>105</v>
      </c>
      <c r="H27" s="162" t="s">
        <v>1038</v>
      </c>
      <c r="I27" s="162">
        <v>4</v>
      </c>
      <c r="J27" s="311">
        <v>7.0000000000000007E-2</v>
      </c>
      <c r="Y27" s="9" t="s">
        <v>929</v>
      </c>
    </row>
    <row r="28" spans="3:25">
      <c r="C28" s="248">
        <v>118</v>
      </c>
      <c r="D28" s="162" t="s">
        <v>1039</v>
      </c>
      <c r="E28" s="162" t="s">
        <v>1005</v>
      </c>
      <c r="F28" s="313">
        <v>699</v>
      </c>
      <c r="G28" s="162">
        <v>45</v>
      </c>
      <c r="H28" s="162" t="s">
        <v>1040</v>
      </c>
      <c r="I28" s="162">
        <v>4.7</v>
      </c>
      <c r="J28" s="311">
        <v>0.05</v>
      </c>
      <c r="Y28" t="s">
        <v>1080</v>
      </c>
    </row>
    <row r="29" spans="3:25">
      <c r="C29" s="248">
        <v>119</v>
      </c>
      <c r="D29" s="162" t="s">
        <v>1041</v>
      </c>
      <c r="E29" s="162" t="s">
        <v>1005</v>
      </c>
      <c r="F29" s="313">
        <v>469</v>
      </c>
      <c r="G29" s="162">
        <v>130</v>
      </c>
      <c r="H29" s="162" t="s">
        <v>1042</v>
      </c>
      <c r="I29" s="162">
        <v>4.4000000000000004</v>
      </c>
      <c r="J29" s="311">
        <v>0.02</v>
      </c>
      <c r="Y29" t="s">
        <v>1079</v>
      </c>
    </row>
    <row r="30" spans="3:25">
      <c r="C30" s="172">
        <v>120</v>
      </c>
      <c r="D30" s="252" t="s">
        <v>1043</v>
      </c>
      <c r="E30" s="252" t="s">
        <v>1005</v>
      </c>
      <c r="F30" s="314">
        <v>349</v>
      </c>
      <c r="G30" s="252">
        <v>60</v>
      </c>
      <c r="H30" s="252" t="s">
        <v>1044</v>
      </c>
      <c r="I30" s="252">
        <v>4.5</v>
      </c>
      <c r="J30" s="312">
        <v>0.15</v>
      </c>
    </row>
    <row r="32" spans="3:25" ht="18">
      <c r="C32" s="74" t="s">
        <v>1045</v>
      </c>
    </row>
    <row r="33" spans="2:25">
      <c r="C33" s="60"/>
    </row>
    <row r="34" spans="2:25">
      <c r="C34" s="605" t="s">
        <v>1068</v>
      </c>
      <c r="D34" s="606"/>
      <c r="E34" s="606"/>
      <c r="F34" s="607"/>
    </row>
    <row r="35" spans="2:25">
      <c r="C35" s="600" t="s">
        <v>1046</v>
      </c>
      <c r="D35" s="531"/>
      <c r="E35" s="531"/>
      <c r="F35" s="601"/>
    </row>
    <row r="36" spans="2:25">
      <c r="C36" s="600" t="s">
        <v>1047</v>
      </c>
      <c r="D36" s="531"/>
      <c r="E36" s="531"/>
      <c r="F36" s="601"/>
    </row>
    <row r="37" spans="2:25">
      <c r="C37" s="600" t="s">
        <v>1048</v>
      </c>
      <c r="D37" s="531"/>
      <c r="E37" s="531"/>
      <c r="F37" s="601"/>
    </row>
    <row r="38" spans="2:25">
      <c r="C38" s="600" t="s">
        <v>1049</v>
      </c>
      <c r="D38" s="531"/>
      <c r="E38" s="531"/>
      <c r="F38" s="601"/>
    </row>
    <row r="39" spans="2:25">
      <c r="C39" s="600" t="s">
        <v>1050</v>
      </c>
      <c r="D39" s="531"/>
      <c r="E39" s="531"/>
      <c r="F39" s="601"/>
    </row>
    <row r="40" spans="2:25">
      <c r="C40" s="600" t="s">
        <v>1051</v>
      </c>
      <c r="D40" s="531"/>
      <c r="E40" s="531"/>
      <c r="F40" s="601"/>
    </row>
    <row r="41" spans="2:25">
      <c r="C41" s="600" t="s">
        <v>1052</v>
      </c>
      <c r="D41" s="531"/>
      <c r="E41" s="531"/>
      <c r="F41" s="601"/>
    </row>
    <row r="42" spans="2:25">
      <c r="C42" s="600" t="s">
        <v>1053</v>
      </c>
      <c r="D42" s="531"/>
      <c r="E42" s="531"/>
      <c r="F42" s="601"/>
    </row>
    <row r="43" spans="2:25">
      <c r="C43" s="602" t="s">
        <v>1054</v>
      </c>
      <c r="D43" s="603"/>
      <c r="E43" s="603"/>
      <c r="F43" s="604"/>
      <c r="Y43" s="149"/>
    </row>
    <row r="44" spans="2:25">
      <c r="C44" s="319"/>
      <c r="D44" s="319"/>
      <c r="E44" s="319"/>
      <c r="F44" s="319"/>
      <c r="Y44" s="149"/>
    </row>
    <row r="45" spans="2:25" ht="15.75" thickBot="1">
      <c r="C45" s="319"/>
      <c r="D45" s="319"/>
      <c r="E45" s="319"/>
      <c r="F45" s="319"/>
      <c r="Y45" s="149"/>
    </row>
    <row r="46" spans="2:25" ht="20.100000000000001" customHeight="1">
      <c r="B46" s="123">
        <v>1</v>
      </c>
      <c r="C46" s="324" t="s">
        <v>998</v>
      </c>
      <c r="D46" s="325">
        <v>101</v>
      </c>
      <c r="E46" s="325">
        <v>102</v>
      </c>
      <c r="F46" s="325">
        <v>103</v>
      </c>
      <c r="G46" s="325">
        <v>104</v>
      </c>
      <c r="H46" s="325">
        <v>105</v>
      </c>
      <c r="I46" s="325">
        <v>106</v>
      </c>
      <c r="J46" s="325">
        <v>107</v>
      </c>
      <c r="K46" s="325">
        <v>108</v>
      </c>
      <c r="L46" s="325">
        <v>109</v>
      </c>
      <c r="M46" s="325">
        <v>110</v>
      </c>
      <c r="N46" s="325">
        <v>111</v>
      </c>
      <c r="O46" s="325">
        <v>112</v>
      </c>
      <c r="P46" s="325">
        <v>113</v>
      </c>
      <c r="Q46" s="325">
        <v>114</v>
      </c>
      <c r="R46" s="325">
        <v>115</v>
      </c>
      <c r="S46" s="325">
        <v>116</v>
      </c>
      <c r="T46" s="325">
        <v>117</v>
      </c>
      <c r="U46" s="325">
        <v>118</v>
      </c>
      <c r="V46" s="325">
        <v>119</v>
      </c>
      <c r="W46" s="326">
        <v>120</v>
      </c>
      <c r="Y46" s="149"/>
    </row>
    <row r="47" spans="2:25" ht="20.100000000000001" customHeight="1">
      <c r="B47" s="123">
        <v>2</v>
      </c>
      <c r="C47" s="327" t="s">
        <v>1056</v>
      </c>
      <c r="D47" s="322" t="s">
        <v>1004</v>
      </c>
      <c r="E47" s="322" t="s">
        <v>1007</v>
      </c>
      <c r="F47" s="322" t="s">
        <v>1009</v>
      </c>
      <c r="G47" s="322" t="s">
        <v>1011</v>
      </c>
      <c r="H47" s="322" t="s">
        <v>1013</v>
      </c>
      <c r="I47" s="322" t="s">
        <v>1015</v>
      </c>
      <c r="J47" s="322" t="s">
        <v>1017</v>
      </c>
      <c r="K47" s="322" t="s">
        <v>1019</v>
      </c>
      <c r="L47" s="322" t="s">
        <v>1021</v>
      </c>
      <c r="M47" s="322" t="s">
        <v>1023</v>
      </c>
      <c r="N47" s="322" t="s">
        <v>1025</v>
      </c>
      <c r="O47" s="322" t="s">
        <v>1027</v>
      </c>
      <c r="P47" s="322" t="s">
        <v>1029</v>
      </c>
      <c r="Q47" s="322" t="s">
        <v>1031</v>
      </c>
      <c r="R47" s="322" t="s">
        <v>1033</v>
      </c>
      <c r="S47" s="322" t="s">
        <v>1035</v>
      </c>
      <c r="T47" s="322" t="s">
        <v>1037</v>
      </c>
      <c r="U47" s="322" t="s">
        <v>1039</v>
      </c>
      <c r="V47" s="322" t="s">
        <v>1041</v>
      </c>
      <c r="W47" s="328" t="s">
        <v>1043</v>
      </c>
    </row>
    <row r="48" spans="2:25" ht="20.100000000000001" customHeight="1">
      <c r="B48" s="123">
        <v>3</v>
      </c>
      <c r="C48" s="327" t="s">
        <v>775</v>
      </c>
      <c r="D48" s="322" t="s">
        <v>1005</v>
      </c>
      <c r="E48" s="322" t="s">
        <v>1005</v>
      </c>
      <c r="F48" s="322" t="s">
        <v>1005</v>
      </c>
      <c r="G48" s="322" t="s">
        <v>1005</v>
      </c>
      <c r="H48" s="322" t="s">
        <v>1005</v>
      </c>
      <c r="I48" s="322" t="s">
        <v>1005</v>
      </c>
      <c r="J48" s="322" t="s">
        <v>1005</v>
      </c>
      <c r="K48" s="322" t="s">
        <v>1005</v>
      </c>
      <c r="L48" s="322" t="s">
        <v>1005</v>
      </c>
      <c r="M48" s="322" t="s">
        <v>1005</v>
      </c>
      <c r="N48" s="322" t="s">
        <v>1005</v>
      </c>
      <c r="O48" s="322" t="s">
        <v>1005</v>
      </c>
      <c r="P48" s="322" t="s">
        <v>1005</v>
      </c>
      <c r="Q48" s="322" t="s">
        <v>1005</v>
      </c>
      <c r="R48" s="322" t="s">
        <v>1005</v>
      </c>
      <c r="S48" s="322" t="s">
        <v>1005</v>
      </c>
      <c r="T48" s="322" t="s">
        <v>1005</v>
      </c>
      <c r="U48" s="322" t="s">
        <v>1005</v>
      </c>
      <c r="V48" s="322" t="s">
        <v>1005</v>
      </c>
      <c r="W48" s="328" t="s">
        <v>1005</v>
      </c>
    </row>
    <row r="49" spans="2:23" ht="20.100000000000001" customHeight="1">
      <c r="B49" s="123">
        <v>4</v>
      </c>
      <c r="C49" s="327" t="s">
        <v>999</v>
      </c>
      <c r="D49" s="323">
        <v>799</v>
      </c>
      <c r="E49" s="323">
        <v>699</v>
      </c>
      <c r="F49" s="323">
        <v>599</v>
      </c>
      <c r="G49" s="323">
        <v>729</v>
      </c>
      <c r="H49" s="323">
        <v>199</v>
      </c>
      <c r="I49" s="323">
        <v>249</v>
      </c>
      <c r="J49" s="323">
        <v>899</v>
      </c>
      <c r="K49" s="323">
        <v>479</v>
      </c>
      <c r="L49" s="323">
        <v>599</v>
      </c>
      <c r="M49" s="323">
        <v>649</v>
      </c>
      <c r="N49" s="323">
        <v>399</v>
      </c>
      <c r="O49" s="323">
        <v>599</v>
      </c>
      <c r="P49" s="323">
        <v>799</v>
      </c>
      <c r="Q49" s="323">
        <v>699</v>
      </c>
      <c r="R49" s="323">
        <v>999</v>
      </c>
      <c r="S49" s="323">
        <v>399</v>
      </c>
      <c r="T49" s="323">
        <v>549</v>
      </c>
      <c r="U49" s="323">
        <v>699</v>
      </c>
      <c r="V49" s="323">
        <v>469</v>
      </c>
      <c r="W49" s="329">
        <v>349</v>
      </c>
    </row>
    <row r="50" spans="2:23" ht="20.100000000000001" customHeight="1">
      <c r="B50" s="123">
        <v>5</v>
      </c>
      <c r="C50" s="327" t="s">
        <v>1000</v>
      </c>
      <c r="D50" s="322">
        <v>120</v>
      </c>
      <c r="E50" s="322">
        <v>85</v>
      </c>
      <c r="F50" s="322">
        <v>60</v>
      </c>
      <c r="G50" s="322">
        <v>150</v>
      </c>
      <c r="H50" s="322">
        <v>200</v>
      </c>
      <c r="I50" s="322">
        <v>100</v>
      </c>
      <c r="J50" s="322">
        <v>130</v>
      </c>
      <c r="K50" s="322">
        <v>75</v>
      </c>
      <c r="L50" s="322">
        <v>80</v>
      </c>
      <c r="M50" s="322">
        <v>110</v>
      </c>
      <c r="N50" s="322">
        <v>90</v>
      </c>
      <c r="O50" s="322">
        <v>60</v>
      </c>
      <c r="P50" s="322">
        <v>95</v>
      </c>
      <c r="Q50" s="322">
        <v>140</v>
      </c>
      <c r="R50" s="322">
        <v>50</v>
      </c>
      <c r="S50" s="322">
        <v>120</v>
      </c>
      <c r="T50" s="322">
        <v>105</v>
      </c>
      <c r="U50" s="322">
        <v>45</v>
      </c>
      <c r="V50" s="322">
        <v>130</v>
      </c>
      <c r="W50" s="328">
        <v>60</v>
      </c>
    </row>
    <row r="51" spans="2:23" ht="20.100000000000001" customHeight="1">
      <c r="B51" s="123">
        <v>6</v>
      </c>
      <c r="C51" s="327" t="s">
        <v>1001</v>
      </c>
      <c r="D51" s="322" t="s">
        <v>1006</v>
      </c>
      <c r="E51" s="322" t="s">
        <v>1008</v>
      </c>
      <c r="F51" s="322" t="s">
        <v>1010</v>
      </c>
      <c r="G51" s="322" t="s">
        <v>1012</v>
      </c>
      <c r="H51" s="322" t="s">
        <v>1014</v>
      </c>
      <c r="I51" s="322" t="s">
        <v>1016</v>
      </c>
      <c r="J51" s="322" t="s">
        <v>1018</v>
      </c>
      <c r="K51" s="322" t="s">
        <v>1020</v>
      </c>
      <c r="L51" s="322" t="s">
        <v>1022</v>
      </c>
      <c r="M51" s="322" t="s">
        <v>1024</v>
      </c>
      <c r="N51" s="322" t="s">
        <v>1026</v>
      </c>
      <c r="O51" s="322" t="s">
        <v>1028</v>
      </c>
      <c r="P51" s="322" t="s">
        <v>1030</v>
      </c>
      <c r="Q51" s="322" t="s">
        <v>1032</v>
      </c>
      <c r="R51" s="322" t="s">
        <v>1034</v>
      </c>
      <c r="S51" s="322" t="s">
        <v>1036</v>
      </c>
      <c r="T51" s="322" t="s">
        <v>1038</v>
      </c>
      <c r="U51" s="322" t="s">
        <v>1040</v>
      </c>
      <c r="V51" s="322" t="s">
        <v>1042</v>
      </c>
      <c r="W51" s="328" t="s">
        <v>1044</v>
      </c>
    </row>
    <row r="52" spans="2:23" ht="20.100000000000001" customHeight="1">
      <c r="B52" s="123">
        <v>7</v>
      </c>
      <c r="C52" s="327" t="s">
        <v>1002</v>
      </c>
      <c r="D52" s="322">
        <v>4.5</v>
      </c>
      <c r="E52" s="322">
        <v>4</v>
      </c>
      <c r="F52" s="322">
        <v>4.7</v>
      </c>
      <c r="G52" s="322">
        <v>4.2</v>
      </c>
      <c r="H52" s="322">
        <v>4.8</v>
      </c>
      <c r="I52" s="322">
        <v>4.3</v>
      </c>
      <c r="J52" s="322">
        <v>4.0999999999999996</v>
      </c>
      <c r="K52" s="322">
        <v>4.4000000000000004</v>
      </c>
      <c r="L52" s="322">
        <v>4</v>
      </c>
      <c r="M52" s="322">
        <v>4.5</v>
      </c>
      <c r="N52" s="322">
        <v>4.2</v>
      </c>
      <c r="O52" s="322">
        <v>4.0999999999999996</v>
      </c>
      <c r="P52" s="322">
        <v>4.3</v>
      </c>
      <c r="Q52" s="322">
        <v>4.5999999999999996</v>
      </c>
      <c r="R52" s="322">
        <v>4.8</v>
      </c>
      <c r="S52" s="322">
        <v>4.2</v>
      </c>
      <c r="T52" s="322">
        <v>4</v>
      </c>
      <c r="U52" s="322">
        <v>4.7</v>
      </c>
      <c r="V52" s="322">
        <v>4.4000000000000004</v>
      </c>
      <c r="W52" s="328">
        <v>4.5</v>
      </c>
    </row>
    <row r="53" spans="2:23" ht="20.100000000000001" customHeight="1" thickBot="1">
      <c r="B53" s="123">
        <v>8</v>
      </c>
      <c r="C53" s="321" t="s">
        <v>1003</v>
      </c>
      <c r="D53" s="330">
        <v>0.05</v>
      </c>
      <c r="E53" s="330">
        <v>0.1</v>
      </c>
      <c r="F53" s="330">
        <v>0</v>
      </c>
      <c r="G53" s="330">
        <v>0.15</v>
      </c>
      <c r="H53" s="330">
        <v>0.2</v>
      </c>
      <c r="I53" s="330">
        <v>0.05</v>
      </c>
      <c r="J53" s="330">
        <v>0.1</v>
      </c>
      <c r="K53" s="330">
        <v>7.0000000000000007E-2</v>
      </c>
      <c r="L53" s="330">
        <v>0.12</v>
      </c>
      <c r="M53" s="330">
        <v>0.08</v>
      </c>
      <c r="N53" s="330">
        <v>0.06</v>
      </c>
      <c r="O53" s="330">
        <v>0.1</v>
      </c>
      <c r="P53" s="330">
        <v>0.04</v>
      </c>
      <c r="Q53" s="330">
        <v>0.03</v>
      </c>
      <c r="R53" s="330">
        <v>0</v>
      </c>
      <c r="S53" s="330">
        <v>0.05</v>
      </c>
      <c r="T53" s="330">
        <v>7.0000000000000007E-2</v>
      </c>
      <c r="U53" s="330">
        <v>0.05</v>
      </c>
      <c r="V53" s="330">
        <v>0.02</v>
      </c>
      <c r="W53" s="331">
        <v>0.15</v>
      </c>
    </row>
    <row r="56" spans="2:23" ht="18">
      <c r="C56" s="74" t="s">
        <v>1055</v>
      </c>
    </row>
    <row r="57" spans="2:23">
      <c r="C57" s="60"/>
    </row>
    <row r="58" spans="2:23">
      <c r="C58" s="605" t="s">
        <v>1070</v>
      </c>
      <c r="D58" s="606"/>
      <c r="E58" s="606"/>
      <c r="F58" s="607"/>
    </row>
    <row r="59" spans="2:23">
      <c r="C59" s="600" t="s">
        <v>1071</v>
      </c>
      <c r="D59" s="531"/>
      <c r="E59" s="531"/>
      <c r="F59" s="601"/>
    </row>
    <row r="60" spans="2:23">
      <c r="C60" s="600" t="s">
        <v>1072</v>
      </c>
      <c r="D60" s="531"/>
      <c r="E60" s="531"/>
      <c r="F60" s="601"/>
    </row>
    <row r="61" spans="2:23">
      <c r="C61" s="600" t="s">
        <v>1073</v>
      </c>
      <c r="D61" s="531"/>
      <c r="E61" s="531"/>
      <c r="F61" s="601"/>
    </row>
    <row r="62" spans="2:23">
      <c r="C62" s="600" t="s">
        <v>1074</v>
      </c>
      <c r="D62" s="531"/>
      <c r="E62" s="531"/>
      <c r="F62" s="601"/>
    </row>
    <row r="63" spans="2:23">
      <c r="C63" s="600" t="s">
        <v>1075</v>
      </c>
      <c r="D63" s="531"/>
      <c r="E63" s="531"/>
      <c r="F63" s="601"/>
    </row>
    <row r="64" spans="2:23">
      <c r="C64" s="600" t="s">
        <v>1076</v>
      </c>
      <c r="D64" s="531"/>
      <c r="E64" s="531"/>
      <c r="F64" s="601"/>
    </row>
    <row r="65" spans="3:7">
      <c r="C65" s="600" t="s">
        <v>1077</v>
      </c>
      <c r="D65" s="531"/>
      <c r="E65" s="531"/>
      <c r="F65" s="601"/>
    </row>
    <row r="66" spans="3:7">
      <c r="C66" s="600" t="s">
        <v>1078</v>
      </c>
      <c r="D66" s="531"/>
      <c r="E66" s="531"/>
      <c r="F66" s="601"/>
    </row>
    <row r="67" spans="3:7">
      <c r="C67" s="602" t="s">
        <v>1069</v>
      </c>
      <c r="D67" s="603"/>
      <c r="E67" s="603"/>
      <c r="F67" s="604"/>
    </row>
    <row r="69" spans="3:7" ht="21">
      <c r="C69" s="318" t="s">
        <v>1057</v>
      </c>
    </row>
    <row r="71" spans="3:7" ht="18">
      <c r="C71" s="320" t="s">
        <v>1067</v>
      </c>
    </row>
    <row r="72" spans="3:7" ht="15.75" thickBot="1"/>
    <row r="73" spans="3:7" ht="15.75" thickBot="1">
      <c r="C73" s="445" t="s">
        <v>947</v>
      </c>
      <c r="D73" s="446" t="s">
        <v>1058</v>
      </c>
      <c r="E73" s="608" t="s">
        <v>294</v>
      </c>
      <c r="F73" s="608"/>
      <c r="G73" s="609"/>
    </row>
    <row r="74" spans="3:7">
      <c r="C74" s="23" t="s">
        <v>1059</v>
      </c>
      <c r="D74" s="6">
        <f>VLOOKUP(C74,$D$11:$J$30,3,0)</f>
        <v>799</v>
      </c>
      <c r="E74" s="593" t="str">
        <f t="shared" ref="E74:E83" ca="1" si="0">_xlfn.FORMULATEXT(D74)</f>
        <v>=VLOOKUP(C74,$D$11:$J$30,3,0)</v>
      </c>
      <c r="F74" s="593"/>
      <c r="G74" s="594"/>
    </row>
    <row r="75" spans="3:7">
      <c r="C75" s="23" t="s">
        <v>1060</v>
      </c>
      <c r="D75" s="6">
        <f>VLOOKUP(C75,$D$11:$J$30,4,0)</f>
        <v>60</v>
      </c>
      <c r="E75" s="593" t="str">
        <f t="shared" ca="1" si="0"/>
        <v>=VLOOKUP(C75,$D$11:$J$30,4,0)</v>
      </c>
      <c r="F75" s="593"/>
      <c r="G75" s="594"/>
    </row>
    <row r="76" spans="3:7">
      <c r="C76" s="23" t="s">
        <v>1007</v>
      </c>
      <c r="D76" s="6" t="str">
        <f>VLOOKUP(C76,$D$11:$J$30,5,0)</f>
        <v>Jane Doe</v>
      </c>
      <c r="E76" s="593" t="str">
        <f t="shared" ca="1" si="0"/>
        <v>=VLOOKUP(C76,$D$11:$J$30,5,0)</v>
      </c>
      <c r="F76" s="593"/>
      <c r="G76" s="594"/>
    </row>
    <row r="77" spans="3:7">
      <c r="C77" s="23" t="s">
        <v>1061</v>
      </c>
      <c r="D77" s="6">
        <f>VLOOKUP(C77,$D$11:$J$30,7,0)</f>
        <v>0.2</v>
      </c>
      <c r="E77" s="593" t="str">
        <f t="shared" ca="1" si="0"/>
        <v>=VLOOKUP(C77,$D$11:$J$30,7,0)</v>
      </c>
      <c r="F77" s="593"/>
      <c r="G77" s="594"/>
    </row>
    <row r="78" spans="3:7">
      <c r="C78" s="23" t="s">
        <v>1062</v>
      </c>
      <c r="D78" s="6">
        <f>VLOOKUP(C78,$D$11:$J$30,6,0)</f>
        <v>4.2</v>
      </c>
      <c r="E78" s="593" t="str">
        <f t="shared" ca="1" si="0"/>
        <v>=VLOOKUP(C78,$D$11:$J$30,6,0)</v>
      </c>
      <c r="F78" s="593"/>
      <c r="G78" s="594"/>
    </row>
    <row r="79" spans="3:7">
      <c r="C79" s="23" t="s">
        <v>1063</v>
      </c>
      <c r="D79" s="6">
        <f>VLOOKUP(C79,$D$11:$J$30,3,0)</f>
        <v>479</v>
      </c>
      <c r="E79" s="593" t="str">
        <f t="shared" ca="1" si="0"/>
        <v>=VLOOKUP(C79,$D$11:$J$30,3,0)</v>
      </c>
      <c r="F79" s="593"/>
      <c r="G79" s="594"/>
    </row>
    <row r="80" spans="3:7">
      <c r="C80" s="23" t="s">
        <v>1064</v>
      </c>
      <c r="D80" s="6" t="str">
        <f>VLOOKUP(C80,$D$11:$J$30,5,0)</f>
        <v>Daniel Martinez</v>
      </c>
      <c r="E80" s="593" t="str">
        <f t="shared" ca="1" si="0"/>
        <v>=VLOOKUP(C80,$D$11:$J$30,5,0)</v>
      </c>
      <c r="F80" s="593"/>
      <c r="G80" s="594"/>
    </row>
    <row r="81" spans="3:7">
      <c r="C81" s="23" t="s">
        <v>1021</v>
      </c>
      <c r="D81" s="6">
        <f>VLOOKUP(C81,$D$11:$J$30,4,0)</f>
        <v>80</v>
      </c>
      <c r="E81" s="593" t="str">
        <f t="shared" ca="1" si="0"/>
        <v>=VLOOKUP(C81,$D$11:$J$30,4,0)</v>
      </c>
      <c r="F81" s="593"/>
      <c r="G81" s="594"/>
    </row>
    <row r="82" spans="3:7">
      <c r="C82" s="23" t="s">
        <v>1065</v>
      </c>
      <c r="D82" s="6">
        <f>VLOOKUP(C82,$D$11:$J$30,6,0)</f>
        <v>4.3</v>
      </c>
      <c r="E82" s="593" t="str">
        <f t="shared" ca="1" si="0"/>
        <v>=VLOOKUP(C82,$D$11:$J$30,6,0)</v>
      </c>
      <c r="F82" s="593"/>
      <c r="G82" s="594"/>
    </row>
    <row r="83" spans="3:7">
      <c r="C83" s="25" t="s">
        <v>1015</v>
      </c>
      <c r="D83" s="126">
        <f>VLOOKUP(C83,$D$11:$J$30,7,0)</f>
        <v>0.05</v>
      </c>
      <c r="E83" s="595" t="str">
        <f t="shared" ca="1" si="0"/>
        <v>=VLOOKUP(C83,$D$11:$J$30,7,0)</v>
      </c>
      <c r="F83" s="595"/>
      <c r="G83" s="596"/>
    </row>
    <row r="86" spans="3:7" ht="18">
      <c r="C86" s="320" t="s">
        <v>1066</v>
      </c>
    </row>
    <row r="88" spans="3:7" ht="15.75" thickBot="1">
      <c r="C88" s="447" t="s">
        <v>947</v>
      </c>
      <c r="D88" s="448" t="s">
        <v>1058</v>
      </c>
      <c r="E88" s="610" t="s">
        <v>294</v>
      </c>
      <c r="F88" s="610"/>
      <c r="G88" s="611"/>
    </row>
    <row r="89" spans="3:7">
      <c r="C89" s="23">
        <v>106</v>
      </c>
      <c r="D89" s="6" t="str">
        <f>HLOOKUP(C89,$D$46:$W$53,2,0)</f>
        <v>Moto G Power</v>
      </c>
      <c r="E89" s="593" t="str">
        <f t="shared" ref="E89:E98" ca="1" si="1">_xlfn.FORMULATEXT(D89)</f>
        <v>=HLOOKUP(C89,$D$46:$W$53,2,0)</v>
      </c>
      <c r="F89" s="593"/>
      <c r="G89" s="594"/>
    </row>
    <row r="90" spans="3:7">
      <c r="C90" s="23">
        <v>112</v>
      </c>
      <c r="D90" s="6" t="str">
        <f>HLOOKUP(C90,$D$46:$W$53,3,0)</f>
        <v>Smartphones</v>
      </c>
      <c r="E90" s="593" t="str">
        <f t="shared" ca="1" si="1"/>
        <v>=HLOOKUP(C90,$D$46:$W$53,3,0)</v>
      </c>
      <c r="F90" s="593"/>
      <c r="G90" s="594"/>
    </row>
    <row r="91" spans="3:7">
      <c r="C91" s="23">
        <v>118</v>
      </c>
      <c r="D91" s="6">
        <f>HLOOKUP(C91,$D$46:$W$53,4,0)</f>
        <v>699</v>
      </c>
      <c r="E91" s="593" t="str">
        <f t="shared" ca="1" si="1"/>
        <v>=HLOOKUP(C91,$D$46:$W$53,4,0)</v>
      </c>
      <c r="F91" s="593"/>
      <c r="G91" s="594"/>
    </row>
    <row r="92" spans="3:7">
      <c r="C92" s="23">
        <v>110</v>
      </c>
      <c r="D92" s="6">
        <f>HLOOKUP(C92,$D$46:$W$53,5,0)</f>
        <v>110</v>
      </c>
      <c r="E92" s="593" t="str">
        <f t="shared" ca="1" si="1"/>
        <v>=HLOOKUP(C92,$D$46:$W$53,5,0)</v>
      </c>
      <c r="F92" s="593"/>
      <c r="G92" s="594"/>
    </row>
    <row r="93" spans="3:7">
      <c r="C93" s="23">
        <v>109</v>
      </c>
      <c r="D93" s="6" t="str">
        <f>HLOOKUP(C93,$D$46:$W$53,6,0)</f>
        <v>Robert Harris</v>
      </c>
      <c r="E93" s="593" t="str">
        <f t="shared" ca="1" si="1"/>
        <v>=HLOOKUP(C93,$D$46:$W$53,6,0)</v>
      </c>
      <c r="F93" s="593"/>
      <c r="G93" s="594"/>
    </row>
    <row r="94" spans="3:7">
      <c r="C94" s="23">
        <v>105</v>
      </c>
      <c r="D94" s="6">
        <f>HLOOKUP(C94,$D$46:$W$53,7,0)</f>
        <v>4.8</v>
      </c>
      <c r="E94" s="593" t="str">
        <f t="shared" ca="1" si="1"/>
        <v>=HLOOKUP(C94,$D$46:$W$53,7,0)</v>
      </c>
      <c r="F94" s="593"/>
      <c r="G94" s="594"/>
    </row>
    <row r="95" spans="3:7">
      <c r="C95" s="23">
        <v>116</v>
      </c>
      <c r="D95" s="6">
        <f>HLOOKUP(C95,$D$46:$W$53,8,0)</f>
        <v>0.05</v>
      </c>
      <c r="E95" s="593" t="str">
        <f t="shared" ca="1" si="1"/>
        <v>=HLOOKUP(C95,$D$46:$W$53,8,0)</v>
      </c>
      <c r="F95" s="593"/>
      <c r="G95" s="594"/>
    </row>
    <row r="96" spans="3:7">
      <c r="C96" s="23">
        <v>114</v>
      </c>
      <c r="D96" s="6">
        <f>HLOOKUP(C96,$D$46:$W$53,4,0)</f>
        <v>699</v>
      </c>
      <c r="E96" s="593" t="str">
        <f t="shared" ca="1" si="1"/>
        <v>=HLOOKUP(C96,$D$46:$W$53,4,0)</v>
      </c>
      <c r="F96" s="593"/>
      <c r="G96" s="594"/>
    </row>
    <row r="97" spans="3:11">
      <c r="C97" s="23">
        <v>119</v>
      </c>
      <c r="D97" s="6" t="str">
        <f>HLOOKUP(C97,$D$46:$W$53,6,0)</f>
        <v>Edward Scott</v>
      </c>
      <c r="E97" s="593" t="str">
        <f t="shared" ca="1" si="1"/>
        <v>=HLOOKUP(C97,$D$46:$W$53,6,0)</v>
      </c>
      <c r="F97" s="593"/>
      <c r="G97" s="594"/>
    </row>
    <row r="98" spans="3:11">
      <c r="C98" s="25">
        <v>108</v>
      </c>
      <c r="D98" s="126">
        <f>HLOOKUP(C98,$D$46:$W$53,5,0)</f>
        <v>75</v>
      </c>
      <c r="E98" s="595" t="str">
        <f t="shared" ca="1" si="1"/>
        <v>=HLOOKUP(C98,$D$46:$W$53,5,0)</v>
      </c>
      <c r="F98" s="595"/>
      <c r="G98" s="596"/>
    </row>
    <row r="101" spans="3:11" ht="18">
      <c r="C101" s="74" t="s">
        <v>1095</v>
      </c>
    </row>
    <row r="103" spans="3:11">
      <c r="C103" s="614" t="s">
        <v>1081</v>
      </c>
      <c r="D103" s="615"/>
      <c r="E103" s="615"/>
      <c r="F103" s="615"/>
      <c r="G103" s="615"/>
      <c r="H103" s="615"/>
      <c r="I103" s="615"/>
      <c r="J103" s="615"/>
      <c r="K103" s="616"/>
    </row>
    <row r="105" spans="3:11" ht="18">
      <c r="C105" s="74" t="s">
        <v>1082</v>
      </c>
    </row>
    <row r="106" spans="3:11" ht="15.75" thickBot="1"/>
    <row r="107" spans="3:11" ht="15.75" thickBot="1">
      <c r="C107" s="149"/>
      <c r="E107" s="612" t="s">
        <v>1083</v>
      </c>
      <c r="F107" s="613"/>
    </row>
    <row r="108" spans="3:11" ht="15.75" thickBot="1"/>
    <row r="109" spans="3:11">
      <c r="C109" s="337" t="s">
        <v>303</v>
      </c>
      <c r="D109" s="338" t="s">
        <v>414</v>
      </c>
      <c r="E109" s="338" t="s">
        <v>1084</v>
      </c>
      <c r="F109" s="338" t="s">
        <v>1085</v>
      </c>
      <c r="G109" s="338" t="s">
        <v>1086</v>
      </c>
      <c r="H109" s="339" t="s">
        <v>1087</v>
      </c>
    </row>
    <row r="110" spans="3:11">
      <c r="C110" s="332" t="s">
        <v>505</v>
      </c>
      <c r="D110" s="69" t="s">
        <v>1088</v>
      </c>
      <c r="E110" s="69">
        <v>1500</v>
      </c>
      <c r="F110" s="69">
        <v>1600</v>
      </c>
      <c r="G110" s="69">
        <v>1700</v>
      </c>
      <c r="H110" s="333">
        <v>1800</v>
      </c>
    </row>
    <row r="111" spans="3:11">
      <c r="C111" s="332" t="s">
        <v>505</v>
      </c>
      <c r="D111" s="69" t="s">
        <v>1089</v>
      </c>
      <c r="E111" s="69">
        <v>1400</v>
      </c>
      <c r="F111" s="69">
        <v>1500</v>
      </c>
      <c r="G111" s="69">
        <v>1600</v>
      </c>
      <c r="H111" s="333">
        <v>1700</v>
      </c>
    </row>
    <row r="112" spans="3:11">
      <c r="C112" s="332" t="s">
        <v>495</v>
      </c>
      <c r="D112" s="69" t="s">
        <v>1088</v>
      </c>
      <c r="E112" s="69">
        <v>1200</v>
      </c>
      <c r="F112" s="69">
        <v>1300</v>
      </c>
      <c r="G112" s="69">
        <v>1400</v>
      </c>
      <c r="H112" s="333">
        <v>1500</v>
      </c>
    </row>
    <row r="113" spans="3:11" ht="15.75" thickBot="1">
      <c r="C113" s="334" t="s">
        <v>495</v>
      </c>
      <c r="D113" s="335" t="s">
        <v>1089</v>
      </c>
      <c r="E113" s="335">
        <v>1100</v>
      </c>
      <c r="F113" s="335">
        <v>1200</v>
      </c>
      <c r="G113" s="335">
        <v>1300</v>
      </c>
      <c r="H113" s="336">
        <v>1400</v>
      </c>
    </row>
    <row r="114" spans="3:11" ht="15.75" thickBot="1"/>
    <row r="115" spans="3:11" ht="15.75" thickBot="1">
      <c r="E115" s="612" t="s">
        <v>1090</v>
      </c>
      <c r="F115" s="613"/>
    </row>
    <row r="116" spans="3:11" ht="15.75" thickBot="1"/>
    <row r="117" spans="3:11">
      <c r="E117" s="337" t="s">
        <v>1091</v>
      </c>
      <c r="F117" s="339" t="s">
        <v>1092</v>
      </c>
    </row>
    <row r="118" spans="3:11">
      <c r="E118" s="332" t="s">
        <v>303</v>
      </c>
      <c r="F118" s="333" t="s">
        <v>505</v>
      </c>
    </row>
    <row r="119" spans="3:11">
      <c r="E119" s="332" t="s">
        <v>414</v>
      </c>
      <c r="F119" s="333" t="s">
        <v>1088</v>
      </c>
    </row>
    <row r="120" spans="3:11" ht="15.75" thickBot="1">
      <c r="E120" s="334" t="s">
        <v>1093</v>
      </c>
      <c r="F120" s="336" t="s">
        <v>1086</v>
      </c>
    </row>
    <row r="121" spans="3:11">
      <c r="E121" s="69"/>
      <c r="F121" s="69"/>
    </row>
    <row r="123" spans="3:11" ht="21">
      <c r="C123" s="318" t="s">
        <v>1057</v>
      </c>
    </row>
    <row r="125" spans="3:11">
      <c r="C125" s="399" t="s">
        <v>303</v>
      </c>
      <c r="D125" s="400" t="s">
        <v>414</v>
      </c>
      <c r="E125" s="400" t="s">
        <v>1096</v>
      </c>
      <c r="F125" s="400" t="s">
        <v>1097</v>
      </c>
      <c r="G125" s="579" t="s">
        <v>1117</v>
      </c>
      <c r="H125" s="579"/>
      <c r="I125" s="579"/>
      <c r="J125" s="579"/>
      <c r="K125" s="580"/>
    </row>
    <row r="126" spans="3:11">
      <c r="C126" s="15" t="s">
        <v>495</v>
      </c>
      <c r="D126" s="16" t="s">
        <v>1088</v>
      </c>
      <c r="E126" s="70" t="s">
        <v>1085</v>
      </c>
      <c r="F126" s="16">
        <f>INDEX(E110:H113,MATCH(C126,C110:C113, 0)+( MATCH(D126,D110:D113, 0)-1), MATCH(E126,E109:H109, 0))</f>
        <v>1300</v>
      </c>
      <c r="G126" s="595" t="str">
        <f ca="1">_xlfn.FORMULATEXT(F126)</f>
        <v>=@INDEX(E110:H113,MATCH(C126,C110:C113, 0)+( MATCH(D126,D110:D113, 0)-1), MATCH(E126,E109:H109, 0))</v>
      </c>
      <c r="H126" s="595"/>
      <c r="I126" s="595"/>
      <c r="J126" s="595"/>
      <c r="K126" s="596"/>
    </row>
    <row r="129" spans="3:13" ht="18">
      <c r="C129" s="74" t="s">
        <v>1137</v>
      </c>
      <c r="H129" t="s">
        <v>474</v>
      </c>
    </row>
    <row r="130" spans="3:13">
      <c r="C130" s="149"/>
    </row>
    <row r="132" spans="3:13">
      <c r="C132" s="530" t="s">
        <v>1118</v>
      </c>
      <c r="D132" s="530"/>
      <c r="E132" s="530"/>
      <c r="F132" s="530"/>
      <c r="G132" s="530"/>
      <c r="H132" s="530"/>
      <c r="I132" s="530"/>
      <c r="J132" s="530"/>
      <c r="K132" s="530"/>
      <c r="L132" s="530"/>
      <c r="M132" s="530"/>
    </row>
    <row r="134" spans="3:13">
      <c r="C134" s="9" t="s">
        <v>1140</v>
      </c>
    </row>
    <row r="135" spans="3:13" ht="15.75" thickBot="1">
      <c r="C135" s="60"/>
    </row>
    <row r="136" spans="3:13" ht="15.75" thickBot="1">
      <c r="C136" s="340" t="s">
        <v>1119</v>
      </c>
      <c r="D136" s="344" t="s">
        <v>303</v>
      </c>
      <c r="E136" s="344" t="s">
        <v>1120</v>
      </c>
      <c r="F136" s="344" t="s">
        <v>1121</v>
      </c>
      <c r="G136" s="341" t="s">
        <v>1122</v>
      </c>
    </row>
    <row r="137" spans="3:13">
      <c r="C137" s="78" t="s">
        <v>1123</v>
      </c>
      <c r="D137" s="69" t="s">
        <v>505</v>
      </c>
      <c r="E137" s="69">
        <v>50</v>
      </c>
      <c r="F137" s="69">
        <v>60</v>
      </c>
      <c r="G137" s="79">
        <v>70</v>
      </c>
    </row>
    <row r="138" spans="3:13">
      <c r="C138" s="78" t="s">
        <v>1124</v>
      </c>
      <c r="D138" s="69" t="s">
        <v>495</v>
      </c>
      <c r="E138" s="69">
        <v>45</v>
      </c>
      <c r="F138" s="69">
        <v>55</v>
      </c>
      <c r="G138" s="79">
        <v>65</v>
      </c>
    </row>
    <row r="139" spans="3:13">
      <c r="C139" s="78" t="s">
        <v>1125</v>
      </c>
      <c r="D139" s="69" t="s">
        <v>498</v>
      </c>
      <c r="E139" s="69">
        <v>30</v>
      </c>
      <c r="F139" s="69">
        <v>40</v>
      </c>
      <c r="G139" s="79">
        <v>50</v>
      </c>
    </row>
    <row r="140" spans="3:13">
      <c r="C140" s="78" t="s">
        <v>1126</v>
      </c>
      <c r="D140" s="69" t="s">
        <v>493</v>
      </c>
      <c r="E140" s="69">
        <v>35</v>
      </c>
      <c r="F140" s="69">
        <v>45</v>
      </c>
      <c r="G140" s="79">
        <v>55</v>
      </c>
    </row>
    <row r="141" spans="3:13">
      <c r="C141" s="78" t="s">
        <v>1127</v>
      </c>
      <c r="D141" s="69" t="s">
        <v>505</v>
      </c>
      <c r="E141" s="69">
        <v>25</v>
      </c>
      <c r="F141" s="69">
        <v>35</v>
      </c>
      <c r="G141" s="79">
        <v>45</v>
      </c>
    </row>
    <row r="142" spans="3:13">
      <c r="C142" s="78" t="s">
        <v>1128</v>
      </c>
      <c r="D142" s="69" t="s">
        <v>495</v>
      </c>
      <c r="E142" s="69">
        <v>20</v>
      </c>
      <c r="F142" s="69">
        <v>30</v>
      </c>
      <c r="G142" s="79">
        <v>40</v>
      </c>
    </row>
    <row r="143" spans="3:13">
      <c r="C143" s="78" t="s">
        <v>1129</v>
      </c>
      <c r="D143" s="69" t="s">
        <v>498</v>
      </c>
      <c r="E143" s="69">
        <v>15</v>
      </c>
      <c r="F143" s="69">
        <v>25</v>
      </c>
      <c r="G143" s="79">
        <v>35</v>
      </c>
    </row>
    <row r="144" spans="3:13">
      <c r="C144" s="78" t="s">
        <v>1130</v>
      </c>
      <c r="D144" s="69" t="s">
        <v>493</v>
      </c>
      <c r="E144" s="69">
        <v>10</v>
      </c>
      <c r="F144" s="69">
        <v>20</v>
      </c>
      <c r="G144" s="79">
        <v>30</v>
      </c>
    </row>
    <row r="145" spans="3:7">
      <c r="C145" s="78" t="s">
        <v>1131</v>
      </c>
      <c r="D145" s="69" t="s">
        <v>505</v>
      </c>
      <c r="E145" s="69">
        <v>5</v>
      </c>
      <c r="F145" s="69">
        <v>15</v>
      </c>
      <c r="G145" s="79">
        <v>25</v>
      </c>
    </row>
    <row r="146" spans="3:7">
      <c r="C146" s="78" t="s">
        <v>1132</v>
      </c>
      <c r="D146" s="69" t="s">
        <v>495</v>
      </c>
      <c r="E146" s="69">
        <v>40</v>
      </c>
      <c r="F146" s="69">
        <v>50</v>
      </c>
      <c r="G146" s="79">
        <v>60</v>
      </c>
    </row>
    <row r="147" spans="3:7">
      <c r="C147" s="78" t="s">
        <v>1133</v>
      </c>
      <c r="D147" s="69" t="s">
        <v>498</v>
      </c>
      <c r="E147" s="69">
        <v>55</v>
      </c>
      <c r="F147" s="69">
        <v>65</v>
      </c>
      <c r="G147" s="79">
        <v>75</v>
      </c>
    </row>
    <row r="148" spans="3:7">
      <c r="C148" s="80" t="s">
        <v>1134</v>
      </c>
      <c r="D148" s="70" t="s">
        <v>493</v>
      </c>
      <c r="E148" s="70">
        <v>60</v>
      </c>
      <c r="F148" s="70">
        <v>70</v>
      </c>
      <c r="G148" s="81">
        <v>80</v>
      </c>
    </row>
    <row r="149" spans="3:7">
      <c r="C149" s="60"/>
    </row>
    <row r="150" spans="3:7">
      <c r="C150" s="75" t="s">
        <v>1138</v>
      </c>
    </row>
    <row r="151" spans="3:7" ht="15.75" thickBot="1">
      <c r="C151" s="60"/>
    </row>
    <row r="152" spans="3:7" ht="15.75" thickBot="1">
      <c r="C152" s="340" t="s">
        <v>1119</v>
      </c>
      <c r="D152" s="344" t="s">
        <v>303</v>
      </c>
      <c r="E152" s="341" t="s">
        <v>1135</v>
      </c>
    </row>
    <row r="153" spans="3:7">
      <c r="C153" s="78" t="s">
        <v>1123</v>
      </c>
      <c r="D153" s="69" t="s">
        <v>505</v>
      </c>
      <c r="E153" s="79">
        <v>55</v>
      </c>
    </row>
    <row r="154" spans="3:7">
      <c r="C154" s="78" t="s">
        <v>1124</v>
      </c>
      <c r="D154" s="69" t="s">
        <v>495</v>
      </c>
      <c r="E154" s="79">
        <v>50</v>
      </c>
    </row>
    <row r="155" spans="3:7">
      <c r="C155" s="78" t="s">
        <v>1125</v>
      </c>
      <c r="D155" s="69" t="s">
        <v>498</v>
      </c>
      <c r="E155" s="79">
        <v>35</v>
      </c>
    </row>
    <row r="156" spans="3:7">
      <c r="C156" s="78" t="s">
        <v>1126</v>
      </c>
      <c r="D156" s="69" t="s">
        <v>493</v>
      </c>
      <c r="E156" s="79">
        <v>40</v>
      </c>
    </row>
    <row r="157" spans="3:7">
      <c r="C157" s="78" t="s">
        <v>1127</v>
      </c>
      <c r="D157" s="69" t="s">
        <v>505</v>
      </c>
      <c r="E157" s="79">
        <v>30</v>
      </c>
    </row>
    <row r="158" spans="3:7">
      <c r="C158" s="78" t="s">
        <v>1128</v>
      </c>
      <c r="D158" s="69" t="s">
        <v>495</v>
      </c>
      <c r="E158" s="79">
        <v>25</v>
      </c>
    </row>
    <row r="159" spans="3:7">
      <c r="C159" s="78" t="s">
        <v>1129</v>
      </c>
      <c r="D159" s="69" t="s">
        <v>498</v>
      </c>
      <c r="E159" s="79">
        <v>20</v>
      </c>
    </row>
    <row r="160" spans="3:7">
      <c r="C160" s="78" t="s">
        <v>1130</v>
      </c>
      <c r="D160" s="69" t="s">
        <v>493</v>
      </c>
      <c r="E160" s="79">
        <v>15</v>
      </c>
    </row>
    <row r="161" spans="3:13">
      <c r="C161" s="78" t="s">
        <v>1131</v>
      </c>
      <c r="D161" s="69" t="s">
        <v>505</v>
      </c>
      <c r="E161" s="79">
        <v>10</v>
      </c>
    </row>
    <row r="162" spans="3:13">
      <c r="C162" s="78" t="s">
        <v>1132</v>
      </c>
      <c r="D162" s="69" t="s">
        <v>495</v>
      </c>
      <c r="E162" s="79">
        <v>45</v>
      </c>
    </row>
    <row r="163" spans="3:13">
      <c r="C163" s="78" t="s">
        <v>1133</v>
      </c>
      <c r="D163" s="69" t="s">
        <v>498</v>
      </c>
      <c r="E163" s="79">
        <v>60</v>
      </c>
    </row>
    <row r="164" spans="3:13">
      <c r="C164" s="80" t="s">
        <v>1134</v>
      </c>
      <c r="D164" s="70" t="s">
        <v>493</v>
      </c>
      <c r="E164" s="81">
        <v>65</v>
      </c>
    </row>
    <row r="166" spans="3:13">
      <c r="C166" s="530" t="s">
        <v>1136</v>
      </c>
      <c r="D166" s="530"/>
      <c r="E166" s="530"/>
      <c r="F166" s="530"/>
      <c r="G166" s="530"/>
      <c r="H166" s="530"/>
      <c r="I166" s="530"/>
      <c r="J166" s="530"/>
      <c r="K166" s="530"/>
      <c r="L166" s="530"/>
    </row>
    <row r="168" spans="3:13">
      <c r="G168" s="618" t="s">
        <v>1141</v>
      </c>
      <c r="H168" s="619"/>
      <c r="I168" s="619"/>
      <c r="J168" s="619"/>
      <c r="K168" s="619"/>
      <c r="L168" s="619"/>
      <c r="M168" s="620"/>
    </row>
    <row r="169" spans="3:13">
      <c r="C169" s="452" t="s">
        <v>1139</v>
      </c>
      <c r="D169" s="453" t="s">
        <v>1135</v>
      </c>
      <c r="E169" s="454" t="s">
        <v>1097</v>
      </c>
      <c r="G169" s="450" t="s">
        <v>1139</v>
      </c>
      <c r="H169" s="530" t="str">
        <f ca="1">_xlfn.FORMULATEXT(C170)</f>
        <v>=@INDEX(E137:G148,MATCH("lamborghini",C137:C148,0)*AND(MATCH("South",D137:D148,0)),MATCH("Q2 Sales",E136:G136,0))</v>
      </c>
      <c r="I169" s="530"/>
      <c r="J169" s="530"/>
      <c r="K169" s="530"/>
      <c r="L169" s="530"/>
      <c r="M169" s="557"/>
    </row>
    <row r="170" spans="3:13">
      <c r="C170" s="345">
        <f>INDEX(E137:G148,MATCH("lamborghini",C137:C148,0)*AND(MATCH("South",D137:D148,0)),MATCH("Q2 Sales",E136:G136,0))</f>
        <v>55</v>
      </c>
      <c r="D170" s="346">
        <f>INDEX(E153:E164,MATCH("lamborghini",C153:C164,0)*AND(MATCH("South",D153:D164,0)))</f>
        <v>50</v>
      </c>
      <c r="E170" s="26" t="str">
        <f>IF(C170&gt;=D170,("target meet"),("Not Meet"))</f>
        <v>target meet</v>
      </c>
      <c r="G170" s="451" t="s">
        <v>1135</v>
      </c>
      <c r="H170" s="559" t="str">
        <f ca="1">_xlfn.FORMULATEXT(D170)</f>
        <v>=@INDEX(E153:E164,MATCH("lamborghini",C153:C164,0)*AND(MATCH("South",D153:D164,0)))</v>
      </c>
      <c r="I170" s="559"/>
      <c r="J170" s="559"/>
      <c r="K170" s="559"/>
      <c r="L170" s="559"/>
      <c r="M170" s="560"/>
    </row>
    <row r="171" spans="3:13">
      <c r="C171" s="60"/>
    </row>
    <row r="172" spans="3:13">
      <c r="C172" s="60"/>
    </row>
    <row r="173" spans="3:13">
      <c r="C173" s="60"/>
    </row>
    <row r="174" spans="3:13">
      <c r="C174" s="617" t="s">
        <v>1144</v>
      </c>
      <c r="D174" s="617"/>
    </row>
    <row r="176" spans="3:13">
      <c r="C176" s="421" t="s">
        <v>1119</v>
      </c>
      <c r="D176" s="449" t="s">
        <v>303</v>
      </c>
      <c r="E176" s="422" t="s">
        <v>1135</v>
      </c>
      <c r="J176" s="2"/>
    </row>
    <row r="177" spans="3:23">
      <c r="C177" s="347" t="s">
        <v>1130</v>
      </c>
      <c r="D177" s="16" t="str">
        <f>VLOOKUP(C177,C153:E164,2,FALSE)</f>
        <v>West</v>
      </c>
      <c r="E177" s="17">
        <f>INDEX(E153:E164,MATCH(C177,C153:C164,0))</f>
        <v>15</v>
      </c>
    </row>
    <row r="180" spans="3:23">
      <c r="C180" s="421" t="s">
        <v>1119</v>
      </c>
      <c r="D180" s="449" t="s">
        <v>1143</v>
      </c>
      <c r="E180" s="422" t="s">
        <v>1142</v>
      </c>
    </row>
    <row r="181" spans="3:23">
      <c r="C181" s="347" t="s">
        <v>1127</v>
      </c>
      <c r="D181" s="16" t="s">
        <v>1121</v>
      </c>
      <c r="E181" s="17">
        <f>INDEX(E137:G148,MATCH(C181,C137:C148,0),MATCH(D181,E136:G136,0))</f>
        <v>35</v>
      </c>
    </row>
    <row r="184" spans="3:23" ht="18">
      <c r="C184" s="625" t="s">
        <v>2309</v>
      </c>
      <c r="D184" s="625"/>
      <c r="E184" s="625"/>
    </row>
    <row r="187" spans="3:23">
      <c r="C187" s="263" t="s">
        <v>2271</v>
      </c>
      <c r="D187" s="264" t="s">
        <v>2272</v>
      </c>
      <c r="E187" s="264" t="s">
        <v>2273</v>
      </c>
      <c r="F187" s="264" t="s">
        <v>2274</v>
      </c>
      <c r="G187" s="265" t="s">
        <v>139</v>
      </c>
    </row>
    <row r="188" spans="3:23">
      <c r="C188" s="248" t="s">
        <v>2275</v>
      </c>
      <c r="D188" s="162">
        <v>10</v>
      </c>
      <c r="E188" s="162" t="s">
        <v>2276</v>
      </c>
      <c r="F188" s="162" t="s">
        <v>2277</v>
      </c>
      <c r="G188" s="251" t="s">
        <v>443</v>
      </c>
    </row>
    <row r="189" spans="3:23">
      <c r="C189" s="248" t="s">
        <v>2278</v>
      </c>
      <c r="D189" s="162">
        <v>20</v>
      </c>
      <c r="E189" s="162" t="s">
        <v>2279</v>
      </c>
      <c r="F189" s="162" t="s">
        <v>2280</v>
      </c>
      <c r="G189" s="251" t="s">
        <v>440</v>
      </c>
      <c r="H189" s="4"/>
      <c r="I189" s="4"/>
      <c r="J189" s="4"/>
      <c r="K189" s="4"/>
      <c r="L189" s="4"/>
      <c r="M189" s="4"/>
      <c r="N189" s="4"/>
      <c r="O189" s="4"/>
      <c r="P189" s="4"/>
      <c r="Q189" s="4"/>
      <c r="R189" s="4"/>
      <c r="S189" s="4"/>
      <c r="T189" s="4"/>
      <c r="U189" s="4"/>
      <c r="V189" s="4"/>
      <c r="W189" s="4"/>
    </row>
    <row r="190" spans="3:23">
      <c r="C190" s="248" t="s">
        <v>2281</v>
      </c>
      <c r="D190" s="162">
        <v>15</v>
      </c>
      <c r="E190" s="162" t="s">
        <v>2282</v>
      </c>
      <c r="F190" s="162" t="s">
        <v>2283</v>
      </c>
      <c r="G190" s="251" t="s">
        <v>1222</v>
      </c>
      <c r="H190" s="2"/>
      <c r="I190" s="2"/>
      <c r="J190" s="2"/>
      <c r="K190" s="2"/>
      <c r="L190" s="2"/>
      <c r="M190" s="2"/>
      <c r="N190" s="2"/>
      <c r="O190" s="2"/>
      <c r="P190" s="352"/>
      <c r="Q190" s="2"/>
      <c r="R190" s="2"/>
      <c r="S190" s="2"/>
      <c r="T190" s="2"/>
      <c r="U190" s="2"/>
      <c r="V190" s="2"/>
      <c r="W190" s="2"/>
    </row>
    <row r="191" spans="3:23">
      <c r="C191" s="248" t="s">
        <v>2284</v>
      </c>
      <c r="D191" s="162">
        <v>12</v>
      </c>
      <c r="E191" s="162" t="s">
        <v>2285</v>
      </c>
      <c r="F191" s="162" t="s">
        <v>2286</v>
      </c>
      <c r="G191" s="251" t="s">
        <v>2287</v>
      </c>
      <c r="H191" s="2"/>
      <c r="I191" s="2"/>
      <c r="J191" s="2"/>
      <c r="K191" s="2"/>
      <c r="L191" s="2"/>
      <c r="M191" s="2"/>
      <c r="N191" s="2"/>
      <c r="O191" s="2"/>
      <c r="P191" s="352"/>
      <c r="Q191" s="2"/>
      <c r="R191" s="2"/>
      <c r="S191" s="2"/>
      <c r="T191" s="2"/>
      <c r="U191" s="2"/>
      <c r="V191" s="2"/>
      <c r="W191" s="2"/>
    </row>
    <row r="192" spans="3:23">
      <c r="C192" s="248" t="s">
        <v>2288</v>
      </c>
      <c r="D192" s="162">
        <v>18</v>
      </c>
      <c r="E192" s="162" t="s">
        <v>2289</v>
      </c>
      <c r="F192" s="162" t="s">
        <v>2290</v>
      </c>
      <c r="G192" s="251" t="s">
        <v>445</v>
      </c>
      <c r="H192" s="352"/>
      <c r="I192" s="2"/>
      <c r="J192" s="2"/>
      <c r="K192" s="2"/>
      <c r="L192" s="2"/>
      <c r="M192" s="2"/>
      <c r="N192" s="2"/>
      <c r="O192" s="2"/>
      <c r="P192" s="352"/>
      <c r="Q192" s="2"/>
      <c r="R192" s="2"/>
      <c r="S192" s="2"/>
      <c r="T192" s="2"/>
      <c r="U192" s="2"/>
      <c r="V192" s="2"/>
      <c r="W192" s="2"/>
    </row>
    <row r="193" spans="3:23">
      <c r="C193" s="248" t="s">
        <v>2291</v>
      </c>
      <c r="D193" s="162">
        <v>25</v>
      </c>
      <c r="E193" s="162" t="s">
        <v>2292</v>
      </c>
      <c r="F193" s="162" t="s">
        <v>2293</v>
      </c>
      <c r="G193" s="251" t="s">
        <v>444</v>
      </c>
      <c r="H193" s="2"/>
      <c r="I193" s="2"/>
      <c r="J193" s="2"/>
      <c r="K193" s="2"/>
      <c r="L193" s="2"/>
      <c r="M193" s="2"/>
      <c r="N193" s="2"/>
      <c r="O193" s="2"/>
      <c r="P193" s="352"/>
      <c r="Q193" s="2"/>
      <c r="R193" s="2"/>
      <c r="S193" s="2"/>
      <c r="T193" s="2"/>
      <c r="U193" s="2"/>
      <c r="V193" s="2"/>
      <c r="W193" s="2"/>
    </row>
    <row r="194" spans="3:23">
      <c r="C194" s="248" t="s">
        <v>2294</v>
      </c>
      <c r="D194" s="162">
        <v>8</v>
      </c>
      <c r="E194" s="162" t="s">
        <v>2295</v>
      </c>
      <c r="F194" s="162" t="s">
        <v>2296</v>
      </c>
      <c r="G194" s="251" t="s">
        <v>2297</v>
      </c>
      <c r="H194" s="2"/>
      <c r="I194" s="2"/>
      <c r="J194" s="2"/>
      <c r="K194" s="2"/>
      <c r="L194" s="2"/>
      <c r="M194" s="2"/>
      <c r="N194" s="2"/>
      <c r="O194" s="2"/>
      <c r="P194" s="352"/>
      <c r="Q194" s="2"/>
      <c r="R194" s="2"/>
      <c r="S194" s="2"/>
      <c r="T194" s="2"/>
      <c r="U194" s="2"/>
      <c r="V194" s="2"/>
      <c r="W194" s="2"/>
    </row>
    <row r="195" spans="3:23">
      <c r="C195" s="248" t="s">
        <v>2298</v>
      </c>
      <c r="D195" s="162">
        <v>14</v>
      </c>
      <c r="E195" s="162" t="s">
        <v>2299</v>
      </c>
      <c r="F195" s="162" t="s">
        <v>2300</v>
      </c>
      <c r="G195" s="251" t="s">
        <v>2301</v>
      </c>
      <c r="H195" s="352"/>
      <c r="I195" s="2"/>
      <c r="J195" s="2"/>
      <c r="K195" s="2"/>
      <c r="L195" s="2"/>
      <c r="M195" s="2"/>
      <c r="N195" s="2"/>
      <c r="O195" s="2"/>
      <c r="P195" s="352"/>
      <c r="Q195" s="2"/>
      <c r="R195" s="2"/>
      <c r="S195" s="2"/>
      <c r="T195" s="2"/>
      <c r="U195" s="2"/>
      <c r="V195" s="2"/>
      <c r="W195" s="2"/>
    </row>
    <row r="196" spans="3:23">
      <c r="C196" s="248" t="s">
        <v>2302</v>
      </c>
      <c r="D196" s="162">
        <v>22</v>
      </c>
      <c r="E196" s="162" t="s">
        <v>2303</v>
      </c>
      <c r="F196" s="162" t="s">
        <v>2304</v>
      </c>
      <c r="G196" s="251" t="s">
        <v>1216</v>
      </c>
      <c r="H196" s="2"/>
      <c r="I196" s="2"/>
      <c r="J196" s="2"/>
      <c r="K196" s="2"/>
      <c r="L196" s="2"/>
      <c r="M196" s="2"/>
      <c r="N196" s="2"/>
      <c r="O196" s="2"/>
      <c r="P196" s="352"/>
      <c r="Q196" s="2"/>
      <c r="R196" s="2"/>
      <c r="S196" s="2"/>
      <c r="T196" s="2"/>
      <c r="U196" s="2"/>
      <c r="V196" s="2"/>
      <c r="W196" s="2"/>
    </row>
    <row r="197" spans="3:23">
      <c r="C197" s="172" t="s">
        <v>2305</v>
      </c>
      <c r="D197" s="252">
        <v>17</v>
      </c>
      <c r="E197" s="252" t="s">
        <v>2306</v>
      </c>
      <c r="F197" s="252" t="s">
        <v>2307</v>
      </c>
      <c r="G197" s="255" t="s">
        <v>2308</v>
      </c>
      <c r="H197" s="2"/>
      <c r="I197" s="2"/>
      <c r="J197" s="2"/>
      <c r="K197" s="2"/>
      <c r="L197" s="2"/>
      <c r="M197" s="2"/>
      <c r="N197" s="2"/>
      <c r="O197" s="2"/>
      <c r="P197" s="352"/>
      <c r="Q197" s="2"/>
      <c r="R197" s="2"/>
      <c r="S197" s="2"/>
      <c r="T197" s="2"/>
      <c r="U197" s="2"/>
      <c r="V197" s="2"/>
      <c r="W197" s="2"/>
    </row>
    <row r="198" spans="3:23">
      <c r="C198" s="2"/>
      <c r="D198" s="2"/>
      <c r="E198" s="2"/>
      <c r="F198" s="2"/>
      <c r="G198" s="2"/>
      <c r="H198" s="2"/>
      <c r="I198" s="2"/>
      <c r="J198" s="2"/>
      <c r="K198" s="2"/>
      <c r="L198" s="2"/>
      <c r="M198" s="2"/>
      <c r="N198" s="2"/>
      <c r="O198" s="2"/>
      <c r="P198" s="352"/>
      <c r="Q198" s="2"/>
      <c r="R198" s="2"/>
      <c r="S198" s="2"/>
      <c r="T198" s="2"/>
      <c r="U198" s="2"/>
      <c r="V198" s="2"/>
      <c r="W198" s="2"/>
    </row>
    <row r="199" spans="3:23" ht="18">
      <c r="C199" s="621" t="s">
        <v>2310</v>
      </c>
      <c r="D199" s="621"/>
      <c r="E199" s="621"/>
      <c r="F199" s="2"/>
      <c r="G199" s="2"/>
      <c r="H199" s="2"/>
      <c r="I199" s="2"/>
      <c r="J199" s="2"/>
      <c r="K199" s="2"/>
      <c r="L199" s="2"/>
      <c r="M199" s="2"/>
      <c r="N199" s="2"/>
      <c r="O199" s="2"/>
      <c r="P199" s="352"/>
      <c r="Q199" s="2"/>
      <c r="R199" s="2"/>
      <c r="S199" s="2"/>
      <c r="T199" s="2"/>
      <c r="U199" s="2"/>
      <c r="V199" s="2"/>
      <c r="W199" s="2"/>
    </row>
    <row r="200" spans="3:23">
      <c r="D200" s="2"/>
      <c r="E200" s="2"/>
      <c r="F200" s="2"/>
      <c r="G200" s="2"/>
      <c r="H200" s="352"/>
      <c r="I200" s="2"/>
      <c r="J200" s="2"/>
      <c r="K200" s="2"/>
      <c r="L200" s="2"/>
      <c r="M200" s="2"/>
      <c r="N200" s="2"/>
      <c r="O200" s="2"/>
      <c r="P200" s="352"/>
      <c r="Q200" s="2"/>
      <c r="R200" s="2"/>
      <c r="S200" s="2"/>
      <c r="T200" s="2"/>
      <c r="U200" s="2"/>
      <c r="V200" s="2"/>
      <c r="W200" s="2"/>
    </row>
    <row r="201" spans="3:23">
      <c r="C201" s="473" t="s">
        <v>2271</v>
      </c>
      <c r="D201" s="474" t="s">
        <v>2272</v>
      </c>
      <c r="E201" s="474" t="s">
        <v>2273</v>
      </c>
      <c r="F201" s="474" t="s">
        <v>2274</v>
      </c>
      <c r="G201" s="475" t="s">
        <v>139</v>
      </c>
      <c r="H201" s="2"/>
      <c r="I201" s="2"/>
      <c r="J201" s="2"/>
      <c r="K201" s="2"/>
      <c r="L201" s="2"/>
      <c r="M201" s="2"/>
      <c r="N201" s="2"/>
      <c r="O201" s="2"/>
      <c r="P201" s="352"/>
      <c r="Q201" s="2"/>
      <c r="R201" s="2"/>
      <c r="S201" s="2"/>
      <c r="T201" s="2"/>
      <c r="U201" s="2"/>
      <c r="V201" s="2"/>
      <c r="W201" s="2"/>
    </row>
    <row r="202" spans="3:23">
      <c r="C202" s="248" t="s">
        <v>2275</v>
      </c>
      <c r="D202" s="162">
        <f>VLOOKUP($C202,$C$188:$G$197,COLUMNS($C$186:D$186),FALSE)</f>
        <v>10</v>
      </c>
      <c r="E202" s="162" t="str">
        <f>VLOOKUP($C202,$C$188:$G$197,COLUMNS($C$186:E$186),FALSE)</f>
        <v>$1.50</v>
      </c>
      <c r="F202" s="162" t="str">
        <f>VLOOKUP($C202,$C$188:$G$197,COLUMNS($C$186:F$186),FALSE)</f>
        <v>$15.00</v>
      </c>
      <c r="G202" s="251" t="str">
        <f>VLOOKUP($C202,$C$188:$G$197,COLUMNS($C$186:G$186),FALSE)</f>
        <v>New York</v>
      </c>
      <c r="H202" s="352"/>
      <c r="I202" s="2"/>
      <c r="J202" s="2"/>
      <c r="K202" s="2"/>
      <c r="L202" s="2"/>
      <c r="M202" s="2"/>
      <c r="N202" s="2"/>
      <c r="O202" s="2"/>
      <c r="P202" s="352"/>
      <c r="Q202" s="2"/>
      <c r="R202" s="2"/>
      <c r="S202" s="2"/>
      <c r="T202" s="2"/>
      <c r="U202" s="2"/>
      <c r="V202" s="2"/>
      <c r="W202" s="2"/>
    </row>
    <row r="203" spans="3:23">
      <c r="C203" s="248" t="s">
        <v>2278</v>
      </c>
      <c r="D203" s="162">
        <f>VLOOKUP($C203,$C$188:$G$197,COLUMNS($C$186:D$186),FALSE)</f>
        <v>20</v>
      </c>
      <c r="E203" s="162" t="str">
        <f>VLOOKUP($C203,$C$188:$G$197,COLUMNS($C$186:E$186),FALSE)</f>
        <v>$2.00</v>
      </c>
      <c r="F203" s="162" t="str">
        <f>VLOOKUP($C203,$C$188:$G$197,COLUMNS($C$186:F$186),FALSE)</f>
        <v>$40.00</v>
      </c>
      <c r="G203" s="251" t="str">
        <f>VLOOKUP($C203,$C$188:$G$197,COLUMNS($C$186:G$186),FALSE)</f>
        <v>Los Angeles</v>
      </c>
      <c r="H203" s="352"/>
      <c r="I203" s="2"/>
      <c r="J203" s="2"/>
      <c r="K203" s="2"/>
      <c r="L203" s="2"/>
      <c r="M203" s="2"/>
      <c r="N203" s="2"/>
      <c r="O203" s="2"/>
      <c r="P203" s="352"/>
      <c r="Q203" s="2"/>
      <c r="R203" s="2"/>
      <c r="S203" s="2"/>
      <c r="T203" s="2"/>
      <c r="U203" s="2"/>
      <c r="V203" s="2"/>
      <c r="W203" s="2"/>
    </row>
    <row r="204" spans="3:23">
      <c r="C204" s="248" t="s">
        <v>2298</v>
      </c>
      <c r="D204" s="162">
        <f>VLOOKUP($C204,$C$188:$G$197,COLUMNS($C$186:D$186),FALSE)</f>
        <v>14</v>
      </c>
      <c r="E204" s="162" t="str">
        <f>VLOOKUP($C204,$C$188:$G$197,COLUMNS($C$186:E$186),FALSE)</f>
        <v>$1.25</v>
      </c>
      <c r="F204" s="162" t="str">
        <f>VLOOKUP($C204,$C$188:$G$197,COLUMNS($C$186:F$186),FALSE)</f>
        <v>$17.50</v>
      </c>
      <c r="G204" s="251" t="str">
        <f>VLOOKUP($C204,$C$188:$G$197,COLUMNS($C$186:G$186),FALSE)</f>
        <v>San Diego</v>
      </c>
      <c r="H204" s="2"/>
      <c r="I204" s="2"/>
      <c r="J204" s="2"/>
      <c r="K204" s="2"/>
      <c r="L204" s="2"/>
      <c r="M204" s="2"/>
      <c r="N204" s="2"/>
      <c r="O204" s="2"/>
      <c r="P204" s="352"/>
      <c r="Q204" s="2"/>
      <c r="R204" s="2"/>
      <c r="S204" s="2"/>
      <c r="T204" s="2"/>
      <c r="U204" s="2"/>
      <c r="V204" s="2"/>
      <c r="W204" s="2"/>
    </row>
    <row r="205" spans="3:23">
      <c r="C205" s="248" t="s">
        <v>2284</v>
      </c>
      <c r="D205" s="162">
        <f>VLOOKUP($C205,$C$188:$G$197,COLUMNS($C$186:D$186),FALSE)</f>
        <v>12</v>
      </c>
      <c r="E205" s="162" t="str">
        <f>VLOOKUP($C205,$C$188:$G$197,COLUMNS($C$186:E$186),FALSE)</f>
        <v>$1.80</v>
      </c>
      <c r="F205" s="162" t="str">
        <f>VLOOKUP($C205,$C$188:$G$197,COLUMNS($C$186:F$186),FALSE)</f>
        <v>$21.60</v>
      </c>
      <c r="G205" s="251" t="str">
        <f>VLOOKUP($C205,$C$188:$G$197,COLUMNS($C$186:G$186),FALSE)</f>
        <v>Houston</v>
      </c>
      <c r="H205" s="352"/>
      <c r="I205" s="2"/>
      <c r="J205" s="2"/>
      <c r="K205" s="2"/>
      <c r="L205" s="2"/>
      <c r="M205" s="2"/>
      <c r="N205" s="2"/>
      <c r="O205" s="2"/>
      <c r="P205" s="352"/>
      <c r="Q205" s="2"/>
      <c r="R205" s="2"/>
      <c r="S205" s="2"/>
      <c r="T205" s="2"/>
      <c r="U205" s="2"/>
      <c r="V205" s="2"/>
      <c r="W205" s="2"/>
    </row>
    <row r="206" spans="3:23">
      <c r="C206" s="248" t="s">
        <v>2294</v>
      </c>
      <c r="D206" s="162">
        <f>VLOOKUP($C206,$C$188:$G$197,COLUMNS($C$186:D$186),FALSE)</f>
        <v>8</v>
      </c>
      <c r="E206" s="162" t="str">
        <f>VLOOKUP($C206,$C$188:$G$197,COLUMNS($C$186:E$186),FALSE)</f>
        <v>$2.10</v>
      </c>
      <c r="F206" s="162" t="str">
        <f>VLOOKUP($C206,$C$188:$G$197,COLUMNS($C$186:F$186),FALSE)</f>
        <v>$16.80</v>
      </c>
      <c r="G206" s="251" t="str">
        <f>VLOOKUP($C206,$C$188:$G$197,COLUMNS($C$186:G$186),FALSE)</f>
        <v>San Antonio</v>
      </c>
      <c r="H206" s="2"/>
      <c r="I206" s="2"/>
      <c r="J206" s="2"/>
      <c r="K206" s="2"/>
      <c r="L206" s="2"/>
      <c r="M206" s="2"/>
      <c r="N206" s="2"/>
      <c r="O206" s="2"/>
      <c r="P206" s="352"/>
      <c r="Q206" s="2"/>
      <c r="R206" s="2"/>
      <c r="S206" s="2"/>
      <c r="T206" s="2"/>
      <c r="U206" s="2"/>
      <c r="V206" s="2"/>
      <c r="W206" s="2"/>
    </row>
    <row r="207" spans="3:23">
      <c r="C207" s="248" t="s">
        <v>2291</v>
      </c>
      <c r="D207" s="162">
        <f>VLOOKUP($C207,$C$188:$G$197,COLUMNS($C$186:D$186),FALSE)</f>
        <v>25</v>
      </c>
      <c r="E207" s="162" t="str">
        <f>VLOOKUP($C207,$C$188:$G$197,COLUMNS($C$186:E$186),FALSE)</f>
        <v>$1.20</v>
      </c>
      <c r="F207" s="162" t="str">
        <f>VLOOKUP($C207,$C$188:$G$197,COLUMNS($C$186:F$186),FALSE)</f>
        <v>$30.00</v>
      </c>
      <c r="G207" s="251" t="str">
        <f>VLOOKUP($C207,$C$188:$G$197,COLUMNS($C$186:G$186),FALSE)</f>
        <v>Philadelphia</v>
      </c>
      <c r="H207" s="2"/>
      <c r="I207" s="2"/>
      <c r="J207" s="2"/>
      <c r="K207" s="2"/>
      <c r="L207" s="2"/>
      <c r="M207" s="2"/>
      <c r="N207" s="2"/>
      <c r="O207" s="2"/>
      <c r="P207" s="352"/>
      <c r="Q207" s="2"/>
      <c r="R207" s="2"/>
      <c r="S207" s="2"/>
      <c r="T207" s="2"/>
      <c r="U207" s="2"/>
      <c r="V207" s="2"/>
      <c r="W207" s="2"/>
    </row>
    <row r="208" spans="3:23">
      <c r="C208" s="248" t="s">
        <v>2288</v>
      </c>
      <c r="D208" s="162">
        <f>VLOOKUP($C208,$C$188:$G$197,COLUMNS($C$186:D$186),FALSE)</f>
        <v>18</v>
      </c>
      <c r="E208" s="162" t="str">
        <f>VLOOKUP($C208,$C$188:$G$197,COLUMNS($C$186:E$186),FALSE)</f>
        <v>$1.65</v>
      </c>
      <c r="F208" s="162" t="str">
        <f>VLOOKUP($C208,$C$188:$G$197,COLUMNS($C$186:F$186),FALSE)</f>
        <v>$29.70</v>
      </c>
      <c r="G208" s="251" t="str">
        <f>VLOOKUP($C208,$C$188:$G$197,COLUMNS($C$186:G$186),FALSE)</f>
        <v>Phoenix</v>
      </c>
      <c r="H208" s="352"/>
      <c r="I208" s="2"/>
      <c r="J208" s="2"/>
      <c r="K208" s="2"/>
      <c r="L208" s="2"/>
      <c r="M208" s="2"/>
      <c r="N208" s="2"/>
      <c r="O208" s="2"/>
      <c r="P208" s="352"/>
      <c r="Q208" s="2"/>
      <c r="R208" s="2"/>
      <c r="S208" s="2"/>
      <c r="T208" s="2"/>
      <c r="U208" s="2"/>
      <c r="V208" s="2"/>
      <c r="W208" s="2"/>
    </row>
    <row r="209" spans="3:23">
      <c r="C209" s="248" t="s">
        <v>2281</v>
      </c>
      <c r="D209" s="162">
        <f>VLOOKUP($C209,$C$188:$G$197,COLUMNS($C$186:D$186),FALSE)</f>
        <v>15</v>
      </c>
      <c r="E209" s="162" t="str">
        <f>VLOOKUP($C209,$C$188:$G$197,COLUMNS($C$186:E$186),FALSE)</f>
        <v>$1.75</v>
      </c>
      <c r="F209" s="162" t="str">
        <f>VLOOKUP($C209,$C$188:$G$197,COLUMNS($C$186:F$186),FALSE)</f>
        <v>$26.25</v>
      </c>
      <c r="G209" s="251" t="str">
        <f>VLOOKUP($C209,$C$188:$G$197,COLUMNS($C$186:G$186),FALSE)</f>
        <v>Chicago</v>
      </c>
      <c r="H209" s="2"/>
      <c r="I209" s="2"/>
      <c r="J209" s="2"/>
      <c r="K209" s="2"/>
      <c r="L209" s="2"/>
      <c r="M209" s="2"/>
      <c r="N209" s="2"/>
      <c r="O209" s="2"/>
      <c r="P209" s="352"/>
      <c r="Q209" s="2"/>
      <c r="R209" s="2"/>
      <c r="S209" s="2"/>
      <c r="T209" s="2"/>
      <c r="U209" s="2"/>
      <c r="V209" s="2"/>
      <c r="W209" s="2"/>
    </row>
    <row r="210" spans="3:23">
      <c r="C210" s="248" t="s">
        <v>2302</v>
      </c>
      <c r="D210" s="162">
        <f>VLOOKUP($C210,$C$188:$G$197,COLUMNS($C$186:D$186),FALSE)</f>
        <v>22</v>
      </c>
      <c r="E210" s="162" t="str">
        <f>VLOOKUP($C210,$C$188:$G$197,COLUMNS($C$186:E$186),FALSE)</f>
        <v>$1.40</v>
      </c>
      <c r="F210" s="162" t="str">
        <f>VLOOKUP($C210,$C$188:$G$197,COLUMNS($C$186:F$186),FALSE)</f>
        <v>$30.80</v>
      </c>
      <c r="G210" s="251" t="str">
        <f>VLOOKUP($C210,$C$188:$G$197,COLUMNS($C$186:G$186),FALSE)</f>
        <v>Dallas</v>
      </c>
      <c r="H210" s="2"/>
      <c r="I210" s="2"/>
      <c r="J210" s="2"/>
      <c r="K210" s="2"/>
      <c r="L210" s="2"/>
      <c r="M210" s="2"/>
      <c r="N210" s="2"/>
      <c r="O210" s="2"/>
      <c r="P210" s="352"/>
      <c r="Q210" s="2"/>
      <c r="R210" s="2"/>
      <c r="S210" s="2"/>
      <c r="T210" s="2"/>
      <c r="U210" s="2"/>
      <c r="V210" s="2"/>
      <c r="W210" s="2"/>
    </row>
    <row r="211" spans="3:23">
      <c r="C211" s="172" t="s">
        <v>2305</v>
      </c>
      <c r="D211" s="252">
        <f>VLOOKUP($C211,$C$188:$G$197,COLUMNS($C$186:D$186),FALSE)</f>
        <v>17</v>
      </c>
      <c r="E211" s="252" t="str">
        <f>VLOOKUP($C211,$C$188:$G$197,COLUMNS($C$186:E$186),FALSE)</f>
        <v>$1.55</v>
      </c>
      <c r="F211" s="252" t="str">
        <f>VLOOKUP($C211,$C$188:$G$197,COLUMNS($C$186:F$186),FALSE)</f>
        <v>$26.35</v>
      </c>
      <c r="G211" s="255" t="str">
        <f>VLOOKUP($C211,$C$188:$G$197,COLUMNS($C$186:G$186),FALSE)</f>
        <v>San Jose</v>
      </c>
      <c r="H211" s="352"/>
      <c r="I211" s="2"/>
      <c r="J211" s="2"/>
      <c r="K211" s="2"/>
      <c r="L211" s="2"/>
      <c r="M211" s="2"/>
      <c r="N211" s="2"/>
      <c r="O211" s="2"/>
      <c r="P211" s="352"/>
      <c r="Q211" s="2"/>
      <c r="R211" s="2"/>
      <c r="S211" s="2"/>
      <c r="T211" s="2"/>
      <c r="U211" s="2"/>
      <c r="V211" s="2"/>
      <c r="W211" s="2"/>
    </row>
    <row r="212" spans="3:23" ht="15.75" thickBot="1">
      <c r="C212" s="2"/>
      <c r="D212" s="2"/>
      <c r="E212" s="2"/>
      <c r="F212" s="2"/>
      <c r="G212" s="2"/>
      <c r="H212" s="352"/>
      <c r="I212" s="2"/>
      <c r="J212" s="2"/>
      <c r="K212" s="2"/>
      <c r="L212" s="2"/>
      <c r="M212" s="2"/>
      <c r="N212" s="2"/>
      <c r="O212" s="2"/>
      <c r="P212" s="352"/>
      <c r="Q212" s="2"/>
      <c r="R212" s="2"/>
      <c r="S212" s="2"/>
      <c r="T212" s="2"/>
      <c r="U212" s="2"/>
      <c r="V212" s="2"/>
      <c r="W212" s="2"/>
    </row>
    <row r="213" spans="3:23" ht="15" customHeight="1" thickBot="1">
      <c r="C213" s="626" t="str">
        <f ca="1">_xlfn.FORMULATEXT(D202)</f>
        <v>=VLOOKUP($C202,$C$188:$G$197,COLUMNS($C$186:D$186),FALSE)</v>
      </c>
      <c r="D213" s="627"/>
      <c r="E213" s="628"/>
      <c r="F213" s="2"/>
      <c r="G213" s="2"/>
      <c r="H213" s="352"/>
      <c r="I213" s="2"/>
      <c r="J213" s="2"/>
      <c r="K213" s="2"/>
      <c r="L213" s="2"/>
      <c r="M213" s="2"/>
      <c r="N213" s="2"/>
      <c r="O213" s="2"/>
      <c r="P213" s="352"/>
      <c r="Q213" s="2"/>
      <c r="R213" s="2"/>
      <c r="S213" s="2"/>
      <c r="T213" s="2"/>
      <c r="U213" s="2"/>
      <c r="V213" s="2"/>
      <c r="W213" s="2"/>
    </row>
    <row r="214" spans="3:23">
      <c r="C214" s="2"/>
      <c r="D214" s="2"/>
      <c r="E214" s="2"/>
      <c r="F214" s="2"/>
      <c r="G214" s="2"/>
      <c r="H214" s="352"/>
      <c r="I214" s="2"/>
      <c r="J214" s="2"/>
      <c r="K214" s="2"/>
      <c r="L214" s="2"/>
      <c r="M214" s="2"/>
      <c r="N214" s="2"/>
      <c r="O214" s="2"/>
      <c r="P214" s="352"/>
      <c r="Q214" s="2"/>
      <c r="R214" s="2"/>
      <c r="S214" s="2"/>
      <c r="T214" s="2"/>
      <c r="U214" s="2"/>
      <c r="V214" s="2"/>
      <c r="W214" s="2"/>
    </row>
    <row r="215" spans="3:23" ht="18">
      <c r="C215" s="625" t="s">
        <v>2313</v>
      </c>
      <c r="D215" s="625"/>
      <c r="E215" s="625"/>
      <c r="F215" s="2"/>
      <c r="G215" s="2"/>
      <c r="H215" s="352"/>
      <c r="I215" s="2"/>
      <c r="J215" s="2"/>
      <c r="K215" s="2"/>
      <c r="L215" s="2"/>
      <c r="M215" s="2"/>
      <c r="N215" s="2"/>
      <c r="O215" s="2"/>
      <c r="P215" s="352"/>
      <c r="Q215" s="2"/>
      <c r="R215" s="2"/>
      <c r="S215" s="2"/>
      <c r="T215" s="2"/>
      <c r="U215" s="2"/>
      <c r="V215" s="2"/>
      <c r="W215" s="2"/>
    </row>
    <row r="216" spans="3:23">
      <c r="C216" s="2"/>
      <c r="D216" s="2"/>
      <c r="E216" s="2"/>
      <c r="F216" s="2"/>
      <c r="G216" s="2"/>
      <c r="H216" s="352"/>
      <c r="I216" s="2"/>
      <c r="J216" s="2"/>
      <c r="K216" s="2"/>
      <c r="L216" s="2"/>
      <c r="M216" s="2"/>
      <c r="N216" s="2"/>
      <c r="O216" s="2"/>
      <c r="P216" s="352"/>
      <c r="Q216" s="2"/>
      <c r="R216" s="2"/>
      <c r="S216" s="2"/>
      <c r="T216" s="2"/>
      <c r="U216" s="2"/>
      <c r="V216" s="2"/>
      <c r="W216" s="2"/>
    </row>
    <row r="217" spans="3:23">
      <c r="C217" s="342" t="s">
        <v>2311</v>
      </c>
      <c r="D217" s="343" t="s">
        <v>2312</v>
      </c>
      <c r="E217" s="2"/>
      <c r="F217" s="342" t="s">
        <v>2311</v>
      </c>
      <c r="G217" s="343" t="s">
        <v>2312</v>
      </c>
      <c r="H217" s="352"/>
      <c r="K217" s="2"/>
      <c r="L217" s="2"/>
      <c r="M217" s="2"/>
      <c r="N217" s="2"/>
      <c r="O217" s="2"/>
      <c r="P217" s="352"/>
      <c r="Q217" s="2"/>
      <c r="R217" s="2"/>
      <c r="S217" s="2"/>
      <c r="T217" s="2"/>
      <c r="U217" s="2"/>
      <c r="V217" s="2"/>
      <c r="W217" s="2"/>
    </row>
    <row r="218" spans="3:23">
      <c r="C218" s="78">
        <v>1001</v>
      </c>
      <c r="D218" s="82">
        <v>55000</v>
      </c>
      <c r="E218" s="2"/>
      <c r="F218" s="78">
        <v>1005</v>
      </c>
      <c r="G218" s="82">
        <v>70200</v>
      </c>
      <c r="H218" s="2"/>
      <c r="K218" s="2"/>
      <c r="L218" s="2"/>
      <c r="M218" s="2"/>
      <c r="N218" s="2"/>
      <c r="O218" s="2"/>
      <c r="P218" s="352"/>
      <c r="Q218" s="2"/>
      <c r="R218" s="2"/>
      <c r="S218" s="2"/>
      <c r="T218" s="2"/>
      <c r="U218" s="2"/>
      <c r="V218" s="2"/>
      <c r="W218" s="2"/>
    </row>
    <row r="219" spans="3:23">
      <c r="C219" s="78">
        <v>1002</v>
      </c>
      <c r="D219" s="82">
        <v>62500</v>
      </c>
      <c r="E219" s="2"/>
      <c r="F219" s="78">
        <v>1006</v>
      </c>
      <c r="G219" s="82">
        <v>65300</v>
      </c>
      <c r="H219" s="2"/>
      <c r="K219" s="2"/>
      <c r="L219" s="2"/>
      <c r="M219" s="2"/>
      <c r="N219" s="2"/>
      <c r="O219" s="2"/>
      <c r="P219" s="352"/>
      <c r="Q219" s="2"/>
      <c r="R219" s="2"/>
      <c r="S219" s="2"/>
      <c r="T219" s="2"/>
      <c r="U219" s="2"/>
      <c r="V219" s="2"/>
      <c r="W219" s="2"/>
    </row>
    <row r="220" spans="3:23">
      <c r="C220" s="78">
        <v>1003</v>
      </c>
      <c r="D220" s="82">
        <v>48750</v>
      </c>
      <c r="E220" s="2"/>
      <c r="F220" s="78">
        <v>1007</v>
      </c>
      <c r="G220" s="82">
        <v>52400</v>
      </c>
      <c r="H220" s="352"/>
      <c r="K220" s="2"/>
      <c r="L220" s="2"/>
      <c r="M220" s="2"/>
      <c r="N220" s="2"/>
      <c r="O220" s="2"/>
      <c r="P220" s="352"/>
      <c r="Q220" s="2"/>
      <c r="R220" s="2"/>
      <c r="S220" s="2"/>
      <c r="T220" s="2"/>
      <c r="U220" s="2"/>
      <c r="V220" s="2"/>
      <c r="W220" s="2"/>
    </row>
    <row r="221" spans="3:23">
      <c r="C221" s="78">
        <v>1004</v>
      </c>
      <c r="D221" s="82">
        <v>59000</v>
      </c>
      <c r="E221" s="2"/>
      <c r="F221" s="78">
        <v>1008</v>
      </c>
      <c r="G221" s="82">
        <v>58100</v>
      </c>
      <c r="H221" s="2"/>
      <c r="K221" s="2"/>
      <c r="L221" s="2"/>
      <c r="M221" s="2"/>
      <c r="N221" s="2"/>
      <c r="O221" s="2"/>
      <c r="P221" s="352"/>
      <c r="Q221" s="2"/>
      <c r="R221" s="2"/>
      <c r="S221" s="2"/>
      <c r="T221" s="2"/>
      <c r="U221" s="2"/>
      <c r="V221" s="2"/>
      <c r="W221" s="2"/>
    </row>
    <row r="222" spans="3:23">
      <c r="C222" s="80">
        <v>1010</v>
      </c>
      <c r="D222" s="83">
        <v>63700</v>
      </c>
      <c r="E222" s="2"/>
      <c r="F222" s="80">
        <v>1009</v>
      </c>
      <c r="G222" s="83">
        <v>72500</v>
      </c>
      <c r="H222" s="352"/>
      <c r="K222" s="2"/>
      <c r="L222" s="2"/>
      <c r="M222" s="2"/>
      <c r="N222" s="2"/>
      <c r="O222" s="2"/>
      <c r="P222" s="352"/>
      <c r="Q222" s="2"/>
      <c r="R222" s="2"/>
      <c r="S222" s="2"/>
      <c r="T222" s="2"/>
      <c r="U222" s="2"/>
      <c r="V222" s="2"/>
      <c r="W222" s="2"/>
    </row>
    <row r="223" spans="3:23">
      <c r="C223" s="2"/>
      <c r="D223" s="476"/>
      <c r="E223" s="2"/>
      <c r="H223" s="2"/>
      <c r="K223" s="2"/>
      <c r="L223" s="2"/>
      <c r="M223" s="2"/>
      <c r="N223" s="2"/>
      <c r="O223" s="2"/>
      <c r="P223" s="352"/>
      <c r="Q223" s="2"/>
      <c r="R223" s="2"/>
      <c r="S223" s="2"/>
      <c r="T223" s="2"/>
      <c r="U223" s="2"/>
      <c r="V223" s="2"/>
      <c r="W223" s="2"/>
    </row>
    <row r="224" spans="3:23" ht="18">
      <c r="C224" s="621" t="s">
        <v>2310</v>
      </c>
      <c r="D224" s="621"/>
      <c r="E224" s="621"/>
      <c r="F224" s="2"/>
      <c r="G224" s="2"/>
      <c r="H224" s="2"/>
      <c r="K224" s="2"/>
      <c r="L224" s="2"/>
      <c r="M224" s="2"/>
      <c r="N224" s="2"/>
      <c r="O224" s="2"/>
      <c r="P224" s="352"/>
      <c r="Q224" s="2"/>
      <c r="R224" s="2"/>
      <c r="S224" s="2"/>
      <c r="T224" s="2"/>
      <c r="U224" s="2"/>
      <c r="V224" s="2"/>
      <c r="W224" s="2"/>
    </row>
    <row r="225" spans="3:23">
      <c r="C225" s="2"/>
      <c r="D225" s="476"/>
      <c r="E225" s="2"/>
      <c r="F225" s="2"/>
      <c r="G225" s="2"/>
      <c r="H225" s="2"/>
      <c r="K225" s="2"/>
      <c r="L225" s="2"/>
      <c r="M225" s="2"/>
      <c r="N225" s="2"/>
      <c r="O225" s="2"/>
      <c r="P225" s="352"/>
      <c r="Q225" s="2"/>
      <c r="R225" s="2"/>
      <c r="S225" s="2"/>
      <c r="T225" s="2"/>
      <c r="U225" s="2"/>
      <c r="V225" s="2"/>
      <c r="W225" s="2"/>
    </row>
    <row r="226" spans="3:23">
      <c r="C226" s="421" t="s">
        <v>2311</v>
      </c>
      <c r="D226" s="422" t="s">
        <v>2312</v>
      </c>
      <c r="E226" s="2"/>
      <c r="F226" s="2"/>
      <c r="G226" s="2"/>
      <c r="H226" s="352"/>
      <c r="I226" s="2"/>
      <c r="J226" s="2"/>
      <c r="K226" s="2"/>
      <c r="L226" s="2"/>
      <c r="M226" s="2"/>
      <c r="N226" s="2"/>
      <c r="O226" s="2"/>
      <c r="P226" s="352"/>
      <c r="Q226" s="2"/>
      <c r="R226" s="2"/>
      <c r="S226" s="2"/>
      <c r="T226" s="2"/>
      <c r="U226" s="2"/>
      <c r="V226" s="2"/>
      <c r="W226" s="2"/>
    </row>
    <row r="227" spans="3:23">
      <c r="C227" s="78">
        <v>1007</v>
      </c>
      <c r="D227" s="79">
        <f>IFERROR(VLOOKUP(C227,$C$218:$D$222,2,FALSE),VLOOKUP(C227,$F$218:$G$222,2,FALSE))</f>
        <v>52400</v>
      </c>
      <c r="E227" s="2"/>
      <c r="F227" s="2"/>
      <c r="G227" s="2"/>
      <c r="H227" s="352"/>
      <c r="I227" s="2"/>
      <c r="J227" s="2"/>
      <c r="K227" s="2"/>
      <c r="L227" s="2"/>
      <c r="M227" s="2"/>
      <c r="N227" s="2"/>
      <c r="O227" s="2"/>
      <c r="P227" s="352"/>
      <c r="Q227" s="2"/>
      <c r="R227" s="2"/>
      <c r="S227" s="2"/>
      <c r="T227" s="2"/>
      <c r="U227" s="2"/>
      <c r="V227" s="2"/>
      <c r="W227" s="2"/>
    </row>
    <row r="228" spans="3:23">
      <c r="C228" s="78">
        <v>1004</v>
      </c>
      <c r="D228" s="79">
        <f t="shared" ref="D228:D234" si="2">IFERROR(VLOOKUP(C228,$C$218:$D$222,2,FALSE),VLOOKUP(C228,$F$218:$G$222,2,FALSE))</f>
        <v>59000</v>
      </c>
      <c r="E228" s="2"/>
      <c r="F228" s="2"/>
      <c r="G228" s="2"/>
      <c r="H228" s="2"/>
      <c r="I228" s="2"/>
      <c r="J228" s="2"/>
      <c r="K228" s="2"/>
      <c r="L228" s="2"/>
      <c r="M228" s="2"/>
      <c r="N228" s="2"/>
      <c r="O228" s="2"/>
      <c r="P228" s="352"/>
      <c r="Q228" s="2"/>
      <c r="R228" s="2"/>
      <c r="S228" s="2"/>
      <c r="T228" s="2"/>
      <c r="U228" s="2"/>
      <c r="V228" s="2"/>
      <c r="W228" s="2"/>
    </row>
    <row r="229" spans="3:23">
      <c r="C229" s="78">
        <v>1009</v>
      </c>
      <c r="D229" s="79">
        <f t="shared" si="2"/>
        <v>72500</v>
      </c>
      <c r="E229" s="2"/>
      <c r="F229" s="2"/>
      <c r="G229" s="2"/>
      <c r="H229" s="2"/>
      <c r="I229" s="2"/>
      <c r="J229" s="2"/>
      <c r="K229" s="2"/>
      <c r="L229" s="2"/>
      <c r="M229" s="2"/>
      <c r="N229" s="2"/>
      <c r="O229" s="2"/>
      <c r="P229" s="352"/>
      <c r="Q229" s="2"/>
      <c r="R229" s="2"/>
      <c r="S229" s="2"/>
      <c r="T229" s="2"/>
      <c r="U229" s="2"/>
      <c r="V229" s="2"/>
      <c r="W229" s="2"/>
    </row>
    <row r="230" spans="3:23">
      <c r="C230" s="78">
        <v>1002</v>
      </c>
      <c r="D230" s="79">
        <f t="shared" si="2"/>
        <v>62500</v>
      </c>
      <c r="E230" s="2"/>
      <c r="F230" s="2"/>
      <c r="G230" s="2"/>
      <c r="H230" s="2"/>
      <c r="I230" s="2"/>
      <c r="J230" s="2"/>
      <c r="K230" s="2"/>
      <c r="L230" s="2"/>
      <c r="M230" s="2"/>
      <c r="N230" s="2"/>
      <c r="O230" s="2"/>
      <c r="P230" s="352"/>
      <c r="Q230" s="2"/>
      <c r="R230" s="2"/>
      <c r="S230" s="2"/>
      <c r="T230" s="2"/>
      <c r="U230" s="2"/>
      <c r="V230" s="2"/>
      <c r="W230" s="2"/>
    </row>
    <row r="231" spans="3:23">
      <c r="C231" s="78">
        <v>1003</v>
      </c>
      <c r="D231" s="79">
        <f t="shared" si="2"/>
        <v>48750</v>
      </c>
      <c r="E231" s="2"/>
      <c r="F231" s="2"/>
      <c r="G231" s="2"/>
      <c r="H231" s="352"/>
      <c r="I231" s="2"/>
      <c r="J231" s="2"/>
      <c r="K231" s="2"/>
      <c r="L231" s="2"/>
      <c r="M231" s="2"/>
      <c r="N231" s="2"/>
      <c r="O231" s="2"/>
      <c r="P231" s="352"/>
      <c r="Q231" s="2"/>
      <c r="R231" s="2"/>
      <c r="S231" s="2"/>
      <c r="T231" s="2"/>
      <c r="U231" s="2"/>
      <c r="V231" s="2"/>
      <c r="W231" s="2"/>
    </row>
    <row r="232" spans="3:23">
      <c r="C232" s="78">
        <v>1005</v>
      </c>
      <c r="D232" s="79">
        <f t="shared" si="2"/>
        <v>70200</v>
      </c>
    </row>
    <row r="233" spans="3:23">
      <c r="C233" s="78">
        <v>1008</v>
      </c>
      <c r="D233" s="79">
        <f t="shared" si="2"/>
        <v>58100</v>
      </c>
    </row>
    <row r="234" spans="3:23">
      <c r="C234" s="80">
        <v>1006</v>
      </c>
      <c r="D234" s="81">
        <f t="shared" si="2"/>
        <v>65300</v>
      </c>
    </row>
    <row r="235" spans="3:23" ht="15.75" thickBot="1"/>
    <row r="236" spans="3:23" ht="15.75" thickBot="1">
      <c r="C236" s="622" t="str">
        <f ca="1">_xlfn.FORMULATEXT(D227)</f>
        <v>=IFERROR(VLOOKUP(C227,$C$218:$D$222,2,FALSE),VLOOKUP(C227,$F$218:$G$222,2,FALSE))</v>
      </c>
      <c r="D236" s="623"/>
      <c r="E236" s="623"/>
      <c r="F236" s="624"/>
    </row>
    <row r="240" spans="3:23" ht="15.75" thickBot="1"/>
    <row r="241" spans="3:10" ht="15.75" thickBot="1">
      <c r="C241" s="315" t="s">
        <v>998</v>
      </c>
      <c r="D241" s="316" t="s">
        <v>1056</v>
      </c>
      <c r="E241" s="316" t="s">
        <v>775</v>
      </c>
      <c r="F241" s="316" t="s">
        <v>999</v>
      </c>
      <c r="G241" s="316" t="s">
        <v>1000</v>
      </c>
      <c r="H241" s="316" t="s">
        <v>1001</v>
      </c>
      <c r="I241" s="316" t="s">
        <v>1002</v>
      </c>
      <c r="J241" s="317" t="s">
        <v>1003</v>
      </c>
    </row>
    <row r="242" spans="3:10">
      <c r="C242" s="248">
        <v>101</v>
      </c>
      <c r="D242" s="162" t="s">
        <v>1004</v>
      </c>
      <c r="E242" s="162" t="s">
        <v>1005</v>
      </c>
      <c r="F242" s="313">
        <v>799</v>
      </c>
      <c r="G242" s="162">
        <v>120</v>
      </c>
      <c r="H242" s="162" t="s">
        <v>1006</v>
      </c>
      <c r="I242" s="162">
        <v>4.5</v>
      </c>
      <c r="J242" s="311">
        <v>0.05</v>
      </c>
    </row>
    <row r="243" spans="3:10">
      <c r="C243" s="248">
        <v>102</v>
      </c>
      <c r="D243" s="162" t="s">
        <v>1007</v>
      </c>
      <c r="E243" s="162" t="s">
        <v>1005</v>
      </c>
      <c r="F243" s="313">
        <v>699</v>
      </c>
      <c r="G243" s="162">
        <v>85</v>
      </c>
      <c r="H243" s="162" t="s">
        <v>1008</v>
      </c>
      <c r="I243" s="162">
        <v>4</v>
      </c>
      <c r="J243" s="311">
        <v>0.1</v>
      </c>
    </row>
    <row r="244" spans="3:10">
      <c r="C244" s="248">
        <v>103</v>
      </c>
      <c r="D244" s="162" t="s">
        <v>1009</v>
      </c>
      <c r="E244" s="162" t="s">
        <v>1005</v>
      </c>
      <c r="F244" s="313">
        <v>599</v>
      </c>
      <c r="G244" s="162">
        <v>60</v>
      </c>
      <c r="H244" s="162" t="s">
        <v>1010</v>
      </c>
      <c r="I244" s="162">
        <v>4.7</v>
      </c>
      <c r="J244" s="311">
        <v>0</v>
      </c>
    </row>
    <row r="245" spans="3:10">
      <c r="C245" s="248">
        <v>104</v>
      </c>
      <c r="D245" s="162" t="s">
        <v>1011</v>
      </c>
      <c r="E245" s="162" t="s">
        <v>1005</v>
      </c>
      <c r="F245" s="313">
        <v>729</v>
      </c>
      <c r="G245" s="162">
        <v>150</v>
      </c>
      <c r="H245" s="162" t="s">
        <v>1012</v>
      </c>
      <c r="I245" s="162">
        <v>4.2</v>
      </c>
      <c r="J245" s="311">
        <v>0.15</v>
      </c>
    </row>
    <row r="246" spans="3:10">
      <c r="C246" s="248">
        <v>105</v>
      </c>
      <c r="D246" s="162" t="s">
        <v>1013</v>
      </c>
      <c r="E246" s="162" t="s">
        <v>1005</v>
      </c>
      <c r="F246" s="313">
        <v>199</v>
      </c>
      <c r="G246" s="162">
        <v>200</v>
      </c>
      <c r="H246" s="162" t="s">
        <v>1014</v>
      </c>
      <c r="I246" s="162">
        <v>4.8</v>
      </c>
      <c r="J246" s="311">
        <v>0.2</v>
      </c>
    </row>
    <row r="247" spans="3:10">
      <c r="C247" s="248">
        <v>106</v>
      </c>
      <c r="D247" s="162" t="s">
        <v>1015</v>
      </c>
      <c r="E247" s="162" t="s">
        <v>1005</v>
      </c>
      <c r="F247" s="313">
        <v>249</v>
      </c>
      <c r="G247" s="162">
        <v>100</v>
      </c>
      <c r="H247" s="162" t="s">
        <v>1016</v>
      </c>
      <c r="I247" s="162">
        <v>4.3</v>
      </c>
      <c r="J247" s="311">
        <v>0.05</v>
      </c>
    </row>
    <row r="248" spans="3:10">
      <c r="C248" s="248">
        <v>107</v>
      </c>
      <c r="D248" s="162" t="s">
        <v>1017</v>
      </c>
      <c r="E248" s="162" t="s">
        <v>1005</v>
      </c>
      <c r="F248" s="313">
        <v>899</v>
      </c>
      <c r="G248" s="162">
        <v>130</v>
      </c>
      <c r="H248" s="162" t="s">
        <v>1018</v>
      </c>
      <c r="I248" s="162">
        <v>4.0999999999999996</v>
      </c>
      <c r="J248" s="311">
        <v>0.1</v>
      </c>
    </row>
    <row r="249" spans="3:10">
      <c r="C249" s="248">
        <v>108</v>
      </c>
      <c r="D249" s="162" t="s">
        <v>1019</v>
      </c>
      <c r="E249" s="162" t="s">
        <v>1005</v>
      </c>
      <c r="F249" s="313">
        <v>479</v>
      </c>
      <c r="G249" s="162">
        <v>75</v>
      </c>
      <c r="H249" s="162" t="s">
        <v>1020</v>
      </c>
      <c r="I249" s="162">
        <v>4.4000000000000004</v>
      </c>
      <c r="J249" s="311">
        <v>7.0000000000000007E-2</v>
      </c>
    </row>
    <row r="250" spans="3:10">
      <c r="C250" s="248">
        <v>109</v>
      </c>
      <c r="D250" s="162" t="s">
        <v>1021</v>
      </c>
      <c r="E250" s="162" t="s">
        <v>1005</v>
      </c>
      <c r="F250" s="313">
        <v>599</v>
      </c>
      <c r="G250" s="162">
        <v>80</v>
      </c>
      <c r="H250" s="162" t="s">
        <v>1022</v>
      </c>
      <c r="I250" s="162">
        <v>4</v>
      </c>
      <c r="J250" s="311">
        <v>0.12</v>
      </c>
    </row>
    <row r="251" spans="3:10">
      <c r="C251" s="248">
        <v>110</v>
      </c>
      <c r="D251" s="162" t="s">
        <v>1023</v>
      </c>
      <c r="E251" s="162" t="s">
        <v>1005</v>
      </c>
      <c r="F251" s="313">
        <v>649</v>
      </c>
      <c r="G251" s="162">
        <v>110</v>
      </c>
      <c r="H251" s="162" t="s">
        <v>1024</v>
      </c>
      <c r="I251" s="162">
        <v>4.5</v>
      </c>
      <c r="J251" s="311">
        <v>0.08</v>
      </c>
    </row>
    <row r="252" spans="3:10">
      <c r="C252" s="248">
        <v>111</v>
      </c>
      <c r="D252" s="162" t="s">
        <v>1025</v>
      </c>
      <c r="E252" s="162" t="s">
        <v>1005</v>
      </c>
      <c r="F252" s="313">
        <v>399</v>
      </c>
      <c r="G252" s="162">
        <v>90</v>
      </c>
      <c r="H252" s="162" t="s">
        <v>1026</v>
      </c>
      <c r="I252" s="162">
        <v>4.2</v>
      </c>
      <c r="J252" s="311">
        <v>0.06</v>
      </c>
    </row>
    <row r="253" spans="3:10">
      <c r="C253" s="248">
        <v>112</v>
      </c>
      <c r="D253" s="162" t="s">
        <v>1027</v>
      </c>
      <c r="E253" s="162" t="s">
        <v>1005</v>
      </c>
      <c r="F253" s="313">
        <v>599</v>
      </c>
      <c r="G253" s="162">
        <v>60</v>
      </c>
      <c r="H253" s="162" t="s">
        <v>1028</v>
      </c>
      <c r="I253" s="162">
        <v>4.0999999999999996</v>
      </c>
      <c r="J253" s="311">
        <v>0.1</v>
      </c>
    </row>
    <row r="254" spans="3:10">
      <c r="C254" s="248">
        <v>113</v>
      </c>
      <c r="D254" s="162" t="s">
        <v>1029</v>
      </c>
      <c r="E254" s="162" t="s">
        <v>1005</v>
      </c>
      <c r="F254" s="313">
        <v>799</v>
      </c>
      <c r="G254" s="162">
        <v>95</v>
      </c>
      <c r="H254" s="162" t="s">
        <v>1030</v>
      </c>
      <c r="I254" s="162">
        <v>4.3</v>
      </c>
      <c r="J254" s="311">
        <v>0.04</v>
      </c>
    </row>
    <row r="255" spans="3:10">
      <c r="C255" s="248">
        <v>114</v>
      </c>
      <c r="D255" s="162" t="s">
        <v>1031</v>
      </c>
      <c r="E255" s="162" t="s">
        <v>1005</v>
      </c>
      <c r="F255" s="313">
        <v>699</v>
      </c>
      <c r="G255" s="162">
        <v>140</v>
      </c>
      <c r="H255" s="162" t="s">
        <v>1032</v>
      </c>
      <c r="I255" s="162">
        <v>4.5999999999999996</v>
      </c>
      <c r="J255" s="311">
        <v>0.03</v>
      </c>
    </row>
    <row r="256" spans="3:10">
      <c r="C256" s="248">
        <v>115</v>
      </c>
      <c r="D256" s="162" t="s">
        <v>1033</v>
      </c>
      <c r="E256" s="162" t="s">
        <v>1005</v>
      </c>
      <c r="F256" s="313">
        <v>999</v>
      </c>
      <c r="G256" s="162">
        <v>50</v>
      </c>
      <c r="H256" s="162" t="s">
        <v>1034</v>
      </c>
      <c r="I256" s="162">
        <v>4.8</v>
      </c>
      <c r="J256" s="311">
        <v>0</v>
      </c>
    </row>
    <row r="257" spans="3:10">
      <c r="C257" s="248">
        <v>116</v>
      </c>
      <c r="D257" s="162" t="s">
        <v>1035</v>
      </c>
      <c r="E257" s="162" t="s">
        <v>1005</v>
      </c>
      <c r="F257" s="313">
        <v>399</v>
      </c>
      <c r="G257" s="162">
        <v>120</v>
      </c>
      <c r="H257" s="162" t="s">
        <v>1036</v>
      </c>
      <c r="I257" s="162">
        <v>4.2</v>
      </c>
      <c r="J257" s="311">
        <v>0.05</v>
      </c>
    </row>
    <row r="258" spans="3:10">
      <c r="C258" s="248">
        <v>117</v>
      </c>
      <c r="D258" s="162" t="s">
        <v>1037</v>
      </c>
      <c r="E258" s="162" t="s">
        <v>1005</v>
      </c>
      <c r="F258" s="313">
        <v>549</v>
      </c>
      <c r="G258" s="162">
        <v>105</v>
      </c>
      <c r="H258" s="162" t="s">
        <v>1038</v>
      </c>
      <c r="I258" s="162">
        <v>4</v>
      </c>
      <c r="J258" s="311">
        <v>7.0000000000000007E-2</v>
      </c>
    </row>
    <row r="259" spans="3:10">
      <c r="C259" s="248">
        <v>118</v>
      </c>
      <c r="D259" s="162" t="s">
        <v>1039</v>
      </c>
      <c r="E259" s="162" t="s">
        <v>1005</v>
      </c>
      <c r="F259" s="313">
        <v>699</v>
      </c>
      <c r="G259" s="162">
        <v>45</v>
      </c>
      <c r="H259" s="162" t="s">
        <v>1040</v>
      </c>
      <c r="I259" s="162">
        <v>4.7</v>
      </c>
      <c r="J259" s="311">
        <v>0.05</v>
      </c>
    </row>
    <row r="260" spans="3:10">
      <c r="C260" s="248">
        <v>119</v>
      </c>
      <c r="D260" s="162" t="s">
        <v>1041</v>
      </c>
      <c r="E260" s="162" t="s">
        <v>1005</v>
      </c>
      <c r="F260" s="313">
        <v>469</v>
      </c>
      <c r="G260" s="162">
        <v>130</v>
      </c>
      <c r="H260" s="162" t="s">
        <v>1042</v>
      </c>
      <c r="I260" s="162">
        <v>4.4000000000000004</v>
      </c>
      <c r="J260" s="311">
        <v>0.02</v>
      </c>
    </row>
    <row r="261" spans="3:10">
      <c r="C261" s="172">
        <v>120</v>
      </c>
      <c r="D261" s="252" t="s">
        <v>1043</v>
      </c>
      <c r="E261" s="252" t="s">
        <v>1005</v>
      </c>
      <c r="F261" s="314">
        <v>349</v>
      </c>
      <c r="G261" s="252">
        <v>60</v>
      </c>
      <c r="H261" s="252" t="s">
        <v>1044</v>
      </c>
      <c r="I261" s="252">
        <v>4.5</v>
      </c>
      <c r="J261" s="312">
        <v>0.15</v>
      </c>
    </row>
    <row r="264" spans="3:10" ht="15.75" thickBot="1"/>
    <row r="265" spans="3:10" ht="15.75" thickBot="1">
      <c r="C265" s="483" t="s">
        <v>2314</v>
      </c>
      <c r="D265" s="477" t="s">
        <v>1019</v>
      </c>
    </row>
    <row r="267" spans="3:10">
      <c r="C267" s="479" t="s">
        <v>998</v>
      </c>
      <c r="D267" s="398">
        <f>INDEX($C$242:$J$261,MATCH($D$265,$D$242:$D$261,0),MATCH($C267,$C$241:$J$241,0))</f>
        <v>108</v>
      </c>
    </row>
    <row r="268" spans="3:10">
      <c r="C268" s="480" t="s">
        <v>999</v>
      </c>
      <c r="D268" s="24">
        <f>INDEX($C$242:$J$261,MATCH($D$265,$D$242:$D$261,0),MATCH($C268,$C$241:$J$241,0))</f>
        <v>479</v>
      </c>
    </row>
    <row r="269" spans="3:10">
      <c r="C269" s="481" t="s">
        <v>1000</v>
      </c>
      <c r="D269" s="24">
        <f t="shared" ref="D269:D272" si="3">INDEX($C$242:$J$261,MATCH($D$265,$D$242:$D$261,0),MATCH($C269,$C$241:$J$241,0))</f>
        <v>75</v>
      </c>
    </row>
    <row r="270" spans="3:10">
      <c r="C270" s="481" t="s">
        <v>1001</v>
      </c>
      <c r="D270" s="24" t="str">
        <f t="shared" si="3"/>
        <v>Laura White</v>
      </c>
    </row>
    <row r="271" spans="3:10">
      <c r="C271" s="478" t="s">
        <v>1002</v>
      </c>
      <c r="D271" s="24">
        <f t="shared" si="3"/>
        <v>4.4000000000000004</v>
      </c>
    </row>
    <row r="272" spans="3:10">
      <c r="C272" s="482" t="s">
        <v>1003</v>
      </c>
      <c r="D272" s="26">
        <f t="shared" si="3"/>
        <v>7.0000000000000007E-2</v>
      </c>
    </row>
  </sheetData>
  <mergeCells count="61">
    <mergeCell ref="C224:E224"/>
    <mergeCell ref="C236:F236"/>
    <mergeCell ref="C184:E184"/>
    <mergeCell ref="C199:E199"/>
    <mergeCell ref="C215:E215"/>
    <mergeCell ref="C213:E213"/>
    <mergeCell ref="G126:K126"/>
    <mergeCell ref="G125:K125"/>
    <mergeCell ref="C174:D174"/>
    <mergeCell ref="C132:M132"/>
    <mergeCell ref="C166:L166"/>
    <mergeCell ref="H169:M169"/>
    <mergeCell ref="H170:M170"/>
    <mergeCell ref="G168:M168"/>
    <mergeCell ref="E97:G97"/>
    <mergeCell ref="E98:G98"/>
    <mergeCell ref="E115:F115"/>
    <mergeCell ref="E107:F107"/>
    <mergeCell ref="C103:K103"/>
    <mergeCell ref="E92:G92"/>
    <mergeCell ref="E93:G93"/>
    <mergeCell ref="E94:G94"/>
    <mergeCell ref="E95:G95"/>
    <mergeCell ref="E96:G96"/>
    <mergeCell ref="E83:G83"/>
    <mergeCell ref="E88:G88"/>
    <mergeCell ref="E89:G89"/>
    <mergeCell ref="E90:G90"/>
    <mergeCell ref="E91:G91"/>
    <mergeCell ref="E78:G78"/>
    <mergeCell ref="E79:G79"/>
    <mergeCell ref="E80:G80"/>
    <mergeCell ref="E81:G81"/>
    <mergeCell ref="E82:G82"/>
    <mergeCell ref="E73:G73"/>
    <mergeCell ref="E74:G74"/>
    <mergeCell ref="E75:G75"/>
    <mergeCell ref="E76:G76"/>
    <mergeCell ref="E77:G77"/>
    <mergeCell ref="C3:H3"/>
    <mergeCell ref="C5:H5"/>
    <mergeCell ref="C34:F34"/>
    <mergeCell ref="C35:F35"/>
    <mergeCell ref="C36:F36"/>
    <mergeCell ref="C37:F37"/>
    <mergeCell ref="C38:F38"/>
    <mergeCell ref="C39:F39"/>
    <mergeCell ref="C40:F40"/>
    <mergeCell ref="C41:F41"/>
    <mergeCell ref="C42:F42"/>
    <mergeCell ref="C43:F43"/>
    <mergeCell ref="C58:F58"/>
    <mergeCell ref="C59:F59"/>
    <mergeCell ref="C60:F60"/>
    <mergeCell ref="C66:F66"/>
    <mergeCell ref="C67:F67"/>
    <mergeCell ref="C61:F61"/>
    <mergeCell ref="C62:F62"/>
    <mergeCell ref="C63:F63"/>
    <mergeCell ref="C64:F64"/>
    <mergeCell ref="C65:F65"/>
  </mergeCells>
  <conditionalFormatting sqref="C153:E164">
    <cfRule type="expression" dxfId="3" priority="6">
      <formula>AND($C$177=$C$153:$E$164,$D$177=$C$153:$E$164)</formula>
    </cfRule>
  </conditionalFormatting>
  <dataValidations count="7">
    <dataValidation type="list" allowBlank="1" showInputMessage="1" showErrorMessage="1" sqref="C126" xr:uid="{D6D68F2B-B869-468D-A493-1938C377C70F}">
      <formula1>"North,South"</formula1>
    </dataValidation>
    <dataValidation type="list" allowBlank="1" showInputMessage="1" showErrorMessage="1" sqref="E126" xr:uid="{AE2C4323-EDB3-4448-865B-7BA69BC345BD}">
      <formula1>$E$109:$H$109</formula1>
    </dataValidation>
    <dataValidation type="list" allowBlank="1" showInputMessage="1" showErrorMessage="1" sqref="D126" xr:uid="{D98AAEF0-2296-4DE0-9831-3D33A0C90AFA}">
      <formula1>$D$110:$D$113</formula1>
    </dataValidation>
    <dataValidation type="list" allowBlank="1" showInputMessage="1" showErrorMessage="1" sqref="D181" xr:uid="{5DB4B568-F376-42F6-A49F-19A93ACEE39E}">
      <formula1>$E$136:$G$136</formula1>
    </dataValidation>
    <dataValidation type="list" allowBlank="1" showInputMessage="1" showErrorMessage="1" sqref="C177" xr:uid="{41F8890E-11EF-49A5-9369-CBD5DCD58044}">
      <formula1>$C$153:$C$164</formula1>
    </dataValidation>
    <dataValidation type="list" allowBlank="1" showInputMessage="1" showErrorMessage="1" sqref="C181" xr:uid="{D1E5EDB2-631B-4A47-869E-324F0C8313D7}">
      <formula1>$C$137:$C$148</formula1>
    </dataValidation>
    <dataValidation type="list" allowBlank="1" showInputMessage="1" showErrorMessage="1" sqref="D265" xr:uid="{1A70A09A-0572-4041-8792-B42C3559FF93}">
      <formula1>$D$242:$D$261</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7" operator="containsText" id="{F19C0B59-3F77-4924-9814-2B68506498AA}">
            <xm:f>NOT(ISERROR(SEARCH($C$177,C153)))</xm:f>
            <xm:f>$C$177</xm:f>
            <x14:dxf>
              <fill>
                <patternFill>
                  <bgColor theme="7" tint="0.59996337778862885"/>
                </patternFill>
              </fill>
            </x14:dxf>
          </x14:cfRule>
          <xm:sqref>C153:E164</xm:sqref>
        </x14:conditionalFormatting>
        <x14:conditionalFormatting xmlns:xm="http://schemas.microsoft.com/office/excel/2006/main">
          <x14:cfRule type="containsText" priority="2" operator="containsText" id="{5C4B5ACC-95A9-485C-8573-686D272CA43C}">
            <xm:f>NOT(ISERROR(SEARCH($C$181,C136)))</xm:f>
            <xm:f>$C$181</xm:f>
            <x14:dxf>
              <fill>
                <patternFill>
                  <bgColor theme="7" tint="0.59996337778862885"/>
                </patternFill>
              </fill>
            </x14:dxf>
          </x14:cfRule>
          <xm:sqref>C136:G148</xm:sqref>
        </x14:conditionalFormatting>
        <x14:conditionalFormatting xmlns:xm="http://schemas.microsoft.com/office/excel/2006/main">
          <x14:cfRule type="containsText" priority="1" operator="containsText" id="{8EF397E9-12C2-43AA-8FFF-203BD698EE56}">
            <xm:f>NOT(ISERROR(SEARCH($D$265,C242)))</xm:f>
            <xm:f>$D$265</xm:f>
            <x14:dxf>
              <fill>
                <patternFill>
                  <bgColor theme="7" tint="0.39994506668294322"/>
                </patternFill>
              </fill>
            </x14:dxf>
          </x14:cfRule>
          <xm:sqref>C242:J261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8C171-F232-490F-8A6D-B91679291F0A}">
  <sheetPr codeName="Sheet16"/>
  <dimension ref="B2:AS301"/>
  <sheetViews>
    <sheetView zoomScale="93" zoomScaleNormal="70" workbookViewId="0">
      <selection activeCell="F123" sqref="F123"/>
    </sheetView>
  </sheetViews>
  <sheetFormatPr defaultRowHeight="15"/>
  <cols>
    <col min="2" max="25" width="30.7109375" customWidth="1"/>
    <col min="26" max="26" width="21.42578125" bestFit="1" customWidth="1"/>
    <col min="27" max="27" width="19.140625" bestFit="1" customWidth="1"/>
    <col min="28" max="28" width="30.7109375" customWidth="1"/>
  </cols>
  <sheetData>
    <row r="2" spans="2:13" ht="26.25">
      <c r="B2" s="371" t="s">
        <v>1094</v>
      </c>
    </row>
    <row r="4" spans="2:13" ht="26.25">
      <c r="B4" s="649" t="s">
        <v>1362</v>
      </c>
      <c r="C4" s="650"/>
      <c r="D4" s="650"/>
      <c r="E4" s="650"/>
      <c r="F4" s="650"/>
      <c r="G4" s="650"/>
      <c r="H4" s="651"/>
      <c r="K4" s="646" t="s">
        <v>952</v>
      </c>
      <c r="L4" s="647"/>
      <c r="M4" s="648"/>
    </row>
    <row r="5" spans="2:13">
      <c r="B5" s="589"/>
      <c r="C5" s="528"/>
      <c r="D5" s="528"/>
      <c r="E5" s="528"/>
      <c r="F5" s="528"/>
      <c r="G5" s="528"/>
      <c r="H5" s="590"/>
      <c r="K5" s="23">
        <v>1</v>
      </c>
      <c r="L5" s="6" t="s">
        <v>1416</v>
      </c>
      <c r="M5" s="24" t="str">
        <f>LOOKUP("00000014",B31:B72,L31:L72)</f>
        <v>Karen N. Harris</v>
      </c>
    </row>
    <row r="6" spans="2:13">
      <c r="B6" s="556" t="s">
        <v>1341</v>
      </c>
      <c r="C6" s="530"/>
      <c r="D6" s="530"/>
      <c r="E6" s="530"/>
      <c r="F6" s="530"/>
      <c r="G6" s="530"/>
      <c r="H6" s="557"/>
      <c r="K6" s="23"/>
      <c r="L6" s="6" t="s">
        <v>1418</v>
      </c>
      <c r="M6" s="368" t="str">
        <f>LEFT(M5,FIND(" ",M5))</f>
        <v xml:space="preserve">Karen </v>
      </c>
    </row>
    <row r="7" spans="2:13">
      <c r="B7" s="556" t="s">
        <v>1357</v>
      </c>
      <c r="C7" s="530"/>
      <c r="D7" s="530"/>
      <c r="E7" s="530"/>
      <c r="F7" s="530"/>
      <c r="G7" s="530"/>
      <c r="H7" s="557"/>
      <c r="K7" s="23"/>
      <c r="L7" s="6"/>
      <c r="M7" s="24" t="str">
        <f>TRIM(RIGHT(M5,LEN(M5)-(FIND(" ",M5)+1)-1))</f>
        <v>Harris</v>
      </c>
    </row>
    <row r="8" spans="2:13">
      <c r="B8" s="556" t="s">
        <v>1342</v>
      </c>
      <c r="C8" s="530"/>
      <c r="D8" s="530"/>
      <c r="E8" s="530"/>
      <c r="F8" s="530"/>
      <c r="G8" s="530"/>
      <c r="H8" s="557"/>
      <c r="K8" s="23"/>
      <c r="L8" s="6"/>
      <c r="M8" s="24"/>
    </row>
    <row r="9" spans="2:13">
      <c r="B9" s="556" t="s">
        <v>1343</v>
      </c>
      <c r="C9" s="530"/>
      <c r="D9" s="530"/>
      <c r="E9" s="530"/>
      <c r="F9" s="530"/>
      <c r="G9" s="530"/>
      <c r="H9" s="557"/>
      <c r="K9" s="23">
        <v>2</v>
      </c>
      <c r="L9" s="6" t="s">
        <v>1402</v>
      </c>
      <c r="M9" s="24" t="s">
        <v>1415</v>
      </c>
    </row>
    <row r="10" spans="2:13">
      <c r="B10" s="556" t="s">
        <v>1344</v>
      </c>
      <c r="C10" s="530"/>
      <c r="D10" s="530"/>
      <c r="E10" s="530"/>
      <c r="F10" s="530"/>
      <c r="G10" s="530"/>
      <c r="H10" s="557"/>
      <c r="K10" s="23"/>
      <c r="L10" s="369">
        <f ca="1">NOW()</f>
        <v>45722.797022453706</v>
      </c>
      <c r="M10" s="24" t="str">
        <f ca="1">(TEXT(L10,"mm dd yyyy"))</f>
        <v>03 06 2025</v>
      </c>
    </row>
    <row r="11" spans="2:13">
      <c r="B11" s="556" t="s">
        <v>1345</v>
      </c>
      <c r="C11" s="530"/>
      <c r="D11" s="530"/>
      <c r="E11" s="530"/>
      <c r="F11" s="530"/>
      <c r="G11" s="530"/>
      <c r="H11" s="557"/>
      <c r="K11" s="23"/>
      <c r="L11" s="6"/>
      <c r="M11" s="24"/>
    </row>
    <row r="12" spans="2:13">
      <c r="B12" s="556" t="s">
        <v>1346</v>
      </c>
      <c r="C12" s="530"/>
      <c r="D12" s="530"/>
      <c r="E12" s="530"/>
      <c r="F12" s="530"/>
      <c r="G12" s="530"/>
      <c r="H12" s="557"/>
      <c r="K12" s="23">
        <v>3</v>
      </c>
      <c r="L12" s="6" t="s">
        <v>1403</v>
      </c>
      <c r="M12" s="24">
        <f>SUM('FUNCTIONS PRACTICE'!$E$31:$E$72)</f>
        <v>36650</v>
      </c>
    </row>
    <row r="13" spans="2:13">
      <c r="B13" s="556" t="s">
        <v>1347</v>
      </c>
      <c r="C13" s="530"/>
      <c r="D13" s="530"/>
      <c r="E13" s="530"/>
      <c r="F13" s="530"/>
      <c r="G13" s="530"/>
      <c r="H13" s="557"/>
      <c r="K13" s="23"/>
      <c r="L13" s="6" t="s">
        <v>456</v>
      </c>
      <c r="M13" s="24">
        <f>AVERAGE('FUNCTIONS PRACTICE'!$E$31:$E$72)</f>
        <v>872.61904761904759</v>
      </c>
    </row>
    <row r="14" spans="2:13">
      <c r="B14" s="556" t="s">
        <v>1348</v>
      </c>
      <c r="C14" s="530"/>
      <c r="D14" s="530"/>
      <c r="E14" s="530"/>
      <c r="F14" s="530"/>
      <c r="G14" s="530"/>
      <c r="H14" s="557"/>
      <c r="K14" s="23"/>
      <c r="L14" s="6" t="s">
        <v>1404</v>
      </c>
      <c r="M14" s="24">
        <f>MIN('FUNCTIONS PRACTICE'!$E$31:$E$72)</f>
        <v>300</v>
      </c>
    </row>
    <row r="15" spans="2:13">
      <c r="B15" s="556" t="s">
        <v>1349</v>
      </c>
      <c r="C15" s="530"/>
      <c r="D15" s="530"/>
      <c r="E15" s="530"/>
      <c r="F15" s="530"/>
      <c r="G15" s="530"/>
      <c r="H15" s="557"/>
      <c r="K15" s="23"/>
      <c r="L15" s="6" t="s">
        <v>1405</v>
      </c>
      <c r="M15" s="24">
        <f>MAX('FUNCTIONS PRACTICE'!$E$31:$E$72)</f>
        <v>1800</v>
      </c>
    </row>
    <row r="16" spans="2:13">
      <c r="B16" s="556" t="s">
        <v>1358</v>
      </c>
      <c r="C16" s="530"/>
      <c r="D16" s="530"/>
      <c r="E16" s="530"/>
      <c r="F16" s="530"/>
      <c r="G16" s="530"/>
      <c r="H16" s="557"/>
      <c r="K16" s="23"/>
      <c r="L16" s="6"/>
      <c r="M16" s="24"/>
    </row>
    <row r="17" spans="2:27">
      <c r="B17" s="556" t="s">
        <v>1350</v>
      </c>
      <c r="C17" s="530"/>
      <c r="D17" s="530"/>
      <c r="E17" s="530"/>
      <c r="F17" s="530"/>
      <c r="G17" s="530"/>
      <c r="H17" s="557"/>
      <c r="K17" s="23"/>
      <c r="L17" s="6" t="s">
        <v>1406</v>
      </c>
      <c r="M17" s="24">
        <f>COUNTIF(E31:E72,"&gt;=1000")</f>
        <v>15</v>
      </c>
    </row>
    <row r="18" spans="2:27">
      <c r="B18" s="556" t="s">
        <v>1351</v>
      </c>
      <c r="C18" s="530"/>
      <c r="D18" s="530"/>
      <c r="E18" s="530"/>
      <c r="F18" s="530"/>
      <c r="G18" s="530"/>
      <c r="H18" s="557"/>
      <c r="K18" s="23"/>
      <c r="L18" s="6" t="s">
        <v>1407</v>
      </c>
      <c r="M18" s="24">
        <f>COUNTIF(I31:I72,"&gt;=5")</f>
        <v>20</v>
      </c>
    </row>
    <row r="19" spans="2:27">
      <c r="B19" s="556" t="s">
        <v>1352</v>
      </c>
      <c r="C19" s="530"/>
      <c r="D19" s="530"/>
      <c r="E19" s="530"/>
      <c r="F19" s="530"/>
      <c r="G19" s="530"/>
      <c r="H19" s="557"/>
      <c r="K19" s="23"/>
      <c r="L19" s="6"/>
      <c r="M19" s="24"/>
    </row>
    <row r="20" spans="2:27">
      <c r="B20" s="556" t="s">
        <v>1353</v>
      </c>
      <c r="C20" s="530"/>
      <c r="D20" s="530"/>
      <c r="E20" s="530"/>
      <c r="F20" s="530"/>
      <c r="G20" s="530"/>
      <c r="H20" s="557"/>
      <c r="K20" s="23">
        <v>4</v>
      </c>
      <c r="L20" s="6" t="s">
        <v>1408</v>
      </c>
      <c r="M20" s="24">
        <f>VLOOKUP("00000018",B31:AA72,4,0)</f>
        <v>500</v>
      </c>
    </row>
    <row r="21" spans="2:27">
      <c r="B21" s="556" t="s">
        <v>1354</v>
      </c>
      <c r="C21" s="530"/>
      <c r="D21" s="530"/>
      <c r="E21" s="530"/>
      <c r="F21" s="530"/>
      <c r="G21" s="530"/>
      <c r="H21" s="557"/>
      <c r="K21" s="23"/>
      <c r="L21" s="6"/>
      <c r="M21" s="24"/>
    </row>
    <row r="22" spans="2:27">
      <c r="B22" s="556" t="s">
        <v>1359</v>
      </c>
      <c r="C22" s="530"/>
      <c r="D22" s="530"/>
      <c r="E22" s="530"/>
      <c r="F22" s="530"/>
      <c r="G22" s="530"/>
      <c r="H22" s="557"/>
      <c r="K22" s="23">
        <v>7</v>
      </c>
      <c r="L22" s="6" t="s">
        <v>297</v>
      </c>
      <c r="M22" s="24"/>
    </row>
    <row r="23" spans="2:27">
      <c r="B23" s="556" t="s">
        <v>1355</v>
      </c>
      <c r="C23" s="530"/>
      <c r="D23" s="530"/>
      <c r="E23" s="530"/>
      <c r="F23" s="530"/>
      <c r="G23" s="530"/>
      <c r="H23" s="557"/>
      <c r="K23" s="23"/>
      <c r="L23" s="6" t="s">
        <v>1417</v>
      </c>
      <c r="M23" s="24">
        <f>LEN(INDEX(C31:C72,MATCH("00000025",B31:B72,0),))</f>
        <v>11</v>
      </c>
    </row>
    <row r="24" spans="2:27">
      <c r="B24" s="556" t="s">
        <v>1356</v>
      </c>
      <c r="C24" s="530"/>
      <c r="D24" s="530"/>
      <c r="E24" s="530"/>
      <c r="F24" s="530"/>
      <c r="G24" s="530"/>
      <c r="H24" s="557"/>
      <c r="K24" s="23"/>
      <c r="L24" s="6"/>
      <c r="M24" s="24"/>
    </row>
    <row r="25" spans="2:27">
      <c r="B25" s="556" t="s">
        <v>1360</v>
      </c>
      <c r="C25" s="530"/>
      <c r="D25" s="530"/>
      <c r="E25" s="530"/>
      <c r="F25" s="530"/>
      <c r="G25" s="530"/>
      <c r="H25" s="557"/>
      <c r="K25" s="23">
        <v>8</v>
      </c>
      <c r="L25" s="6" t="s">
        <v>1412</v>
      </c>
      <c r="M25" s="24">
        <f ca="1">SUMIF(B31:V72,LOOKUP("west",J31:J71,E31:E72))</f>
        <v>3500</v>
      </c>
    </row>
    <row r="26" spans="2:27">
      <c r="B26" s="558" t="s">
        <v>1361</v>
      </c>
      <c r="C26" s="559"/>
      <c r="D26" s="559"/>
      <c r="E26" s="559"/>
      <c r="F26" s="559"/>
      <c r="G26" s="559"/>
      <c r="H26" s="560"/>
      <c r="K26" s="25"/>
      <c r="L26" s="126" t="str">
        <f>LOOKUP("00000027",B31:B72,G31:G72)</f>
        <v>03/14/2023</v>
      </c>
      <c r="M26" s="26" t="str">
        <f>TEXT(L26,"mmm dd yyyy")</f>
        <v>03/14/2023</v>
      </c>
    </row>
    <row r="29" spans="2:27" ht="19.5" thickBot="1">
      <c r="X29" s="642" t="s">
        <v>1414</v>
      </c>
      <c r="Y29" s="642"/>
      <c r="Z29" s="642"/>
      <c r="AA29" s="367" t="s">
        <v>1413</v>
      </c>
    </row>
    <row r="30" spans="2:27" s="359" customFormat="1" ht="19.5" thickBot="1">
      <c r="B30" s="364" t="s">
        <v>998</v>
      </c>
      <c r="C30" s="365" t="s">
        <v>1160</v>
      </c>
      <c r="D30" s="365" t="s">
        <v>775</v>
      </c>
      <c r="E30" s="365" t="s">
        <v>1180</v>
      </c>
      <c r="F30" s="365" t="s">
        <v>1181</v>
      </c>
      <c r="G30" s="365" t="s">
        <v>1182</v>
      </c>
      <c r="H30" s="365" t="s">
        <v>1183</v>
      </c>
      <c r="I30" s="365" t="s">
        <v>1002</v>
      </c>
      <c r="J30" s="365" t="s">
        <v>303</v>
      </c>
      <c r="K30" s="365" t="s">
        <v>1184</v>
      </c>
      <c r="L30" s="365" t="s">
        <v>1185</v>
      </c>
      <c r="M30" s="365" t="s">
        <v>1186</v>
      </c>
      <c r="N30" s="365" t="s">
        <v>1164</v>
      </c>
      <c r="O30" s="365" t="s">
        <v>1187</v>
      </c>
      <c r="P30" s="365" t="s">
        <v>1188</v>
      </c>
      <c r="Q30" s="365" t="s">
        <v>1189</v>
      </c>
      <c r="R30" s="365" t="s">
        <v>1190</v>
      </c>
      <c r="S30" s="365" t="s">
        <v>1191</v>
      </c>
      <c r="T30" s="365" t="s">
        <v>1192</v>
      </c>
      <c r="U30" s="365" t="s">
        <v>1193</v>
      </c>
      <c r="V30" s="366" t="s">
        <v>1194</v>
      </c>
      <c r="W30" s="360"/>
      <c r="X30" s="361" t="s">
        <v>1409</v>
      </c>
      <c r="Y30" s="362" t="s">
        <v>1411</v>
      </c>
      <c r="Z30" s="362" t="s">
        <v>1410</v>
      </c>
      <c r="AA30" s="363" t="s">
        <v>1003</v>
      </c>
    </row>
    <row r="31" spans="2:27">
      <c r="B31" s="353" t="s">
        <v>1363</v>
      </c>
      <c r="C31" s="354" t="s">
        <v>1230</v>
      </c>
      <c r="D31" s="354" t="s">
        <v>1166</v>
      </c>
      <c r="E31" s="354">
        <v>1200</v>
      </c>
      <c r="F31" s="354">
        <v>50</v>
      </c>
      <c r="G31" s="354" t="s">
        <v>1231</v>
      </c>
      <c r="H31" s="354" t="s">
        <v>1232</v>
      </c>
      <c r="I31" s="354">
        <v>5</v>
      </c>
      <c r="J31" s="354" t="s">
        <v>498</v>
      </c>
      <c r="K31" s="354">
        <v>10</v>
      </c>
      <c r="L31" s="354" t="s">
        <v>1233</v>
      </c>
      <c r="M31" s="354">
        <v>12</v>
      </c>
      <c r="N31" s="354">
        <v>2</v>
      </c>
      <c r="O31" s="354">
        <v>32640</v>
      </c>
      <c r="P31" s="354" t="s">
        <v>1208</v>
      </c>
      <c r="Q31" s="354" t="s">
        <v>1200</v>
      </c>
      <c r="R31" s="354">
        <v>20</v>
      </c>
      <c r="S31" s="354" t="s">
        <v>1234</v>
      </c>
      <c r="T31" s="354" t="s">
        <v>443</v>
      </c>
      <c r="U31" s="354">
        <v>2000</v>
      </c>
      <c r="V31" s="355" t="s">
        <v>1235</v>
      </c>
      <c r="W31" s="354"/>
      <c r="X31" s="23" t="str">
        <f t="shared" ref="X31:X72" si="0">UPPER(C31)</f>
        <v>IPHONE 13 PRO</v>
      </c>
      <c r="Y31" s="6" t="str">
        <f>LOWER(X31)</f>
        <v>iphone 13 pro</v>
      </c>
      <c r="Z31" s="6" t="str">
        <f>PROPER(Y31)</f>
        <v>Iphone 13 Pro</v>
      </c>
      <c r="AA31" s="24" t="str">
        <f t="shared" ref="AA31:AA72" si="1">IF(K31&gt;=0.15*100,"High Discount","Low Discount")</f>
        <v>Low Discount</v>
      </c>
    </row>
    <row r="32" spans="2:27">
      <c r="B32" s="353" t="s">
        <v>1364</v>
      </c>
      <c r="C32" s="354" t="s">
        <v>1329</v>
      </c>
      <c r="D32" s="354" t="s">
        <v>1166</v>
      </c>
      <c r="E32" s="354">
        <v>950</v>
      </c>
      <c r="F32" s="354">
        <v>25</v>
      </c>
      <c r="G32" s="354" t="s">
        <v>1252</v>
      </c>
      <c r="H32" s="354" t="s">
        <v>1330</v>
      </c>
      <c r="I32" s="354">
        <v>5</v>
      </c>
      <c r="J32" s="354" t="s">
        <v>505</v>
      </c>
      <c r="K32" s="354">
        <v>15</v>
      </c>
      <c r="L32" s="354" t="s">
        <v>1331</v>
      </c>
      <c r="M32" s="354">
        <v>18</v>
      </c>
      <c r="N32" s="354">
        <v>1</v>
      </c>
      <c r="O32" s="354">
        <v>34515</v>
      </c>
      <c r="P32" s="354" t="s">
        <v>1208</v>
      </c>
      <c r="Q32" s="354" t="s">
        <v>1215</v>
      </c>
      <c r="R32" s="354">
        <v>20</v>
      </c>
      <c r="S32" s="354" t="s">
        <v>1210</v>
      </c>
      <c r="T32" s="354" t="s">
        <v>1332</v>
      </c>
      <c r="U32" s="354">
        <v>1100</v>
      </c>
      <c r="V32" s="355" t="s">
        <v>1239</v>
      </c>
      <c r="W32" s="354"/>
      <c r="X32" s="23" t="str">
        <f t="shared" si="0"/>
        <v>ONEPLUS 8T</v>
      </c>
      <c r="Y32" s="6" t="str">
        <f t="shared" ref="Y32:Y72" si="2">LOWER(X32)</f>
        <v>oneplus 8t</v>
      </c>
      <c r="Z32" s="6" t="str">
        <f t="shared" ref="Z32:Z72" si="3">PROPER(Y32)</f>
        <v>Oneplus 8T</v>
      </c>
      <c r="AA32" s="24" t="str">
        <f t="shared" si="1"/>
        <v>High Discount</v>
      </c>
    </row>
    <row r="33" spans="2:27">
      <c r="B33" s="353" t="s">
        <v>1365</v>
      </c>
      <c r="C33" s="354" t="s">
        <v>1248</v>
      </c>
      <c r="D33" s="354" t="s">
        <v>1166</v>
      </c>
      <c r="E33" s="354">
        <v>900</v>
      </c>
      <c r="F33" s="354">
        <v>30</v>
      </c>
      <c r="G33" s="354">
        <v>45049</v>
      </c>
      <c r="H33" s="354" t="s">
        <v>1228</v>
      </c>
      <c r="I33" s="354">
        <v>4</v>
      </c>
      <c r="J33" s="354" t="s">
        <v>505</v>
      </c>
      <c r="K33" s="354">
        <v>15</v>
      </c>
      <c r="L33" s="354" t="s">
        <v>1249</v>
      </c>
      <c r="M33" s="354">
        <v>18</v>
      </c>
      <c r="N33" s="354">
        <v>3</v>
      </c>
      <c r="O33" s="354">
        <v>33793</v>
      </c>
      <c r="P33" s="354" t="s">
        <v>1208</v>
      </c>
      <c r="Q33" s="354" t="s">
        <v>1209</v>
      </c>
      <c r="R33" s="354">
        <v>15</v>
      </c>
      <c r="S33" s="354" t="s">
        <v>1234</v>
      </c>
      <c r="T33" s="354" t="s">
        <v>1222</v>
      </c>
      <c r="U33" s="354">
        <v>1000</v>
      </c>
      <c r="V33" s="355" t="s">
        <v>1250</v>
      </c>
      <c r="W33" s="354"/>
      <c r="X33" s="23" t="str">
        <f t="shared" si="0"/>
        <v>GOOGLE PIXEL 6</v>
      </c>
      <c r="Y33" s="6" t="str">
        <f t="shared" si="2"/>
        <v>google pixel 6</v>
      </c>
      <c r="Z33" s="6" t="str">
        <f t="shared" si="3"/>
        <v>Google Pixel 6</v>
      </c>
      <c r="AA33" s="24" t="str">
        <f t="shared" si="1"/>
        <v>High Discount</v>
      </c>
    </row>
    <row r="34" spans="2:27">
      <c r="B34" s="353" t="s">
        <v>1366</v>
      </c>
      <c r="C34" s="354" t="s">
        <v>1011</v>
      </c>
      <c r="D34" s="354" t="s">
        <v>1166</v>
      </c>
      <c r="E34" s="354">
        <v>750</v>
      </c>
      <c r="F34" s="354">
        <v>60</v>
      </c>
      <c r="G34" s="354" t="s">
        <v>1265</v>
      </c>
      <c r="H34" s="354" t="s">
        <v>1266</v>
      </c>
      <c r="I34" s="354">
        <v>5</v>
      </c>
      <c r="J34" s="354" t="s">
        <v>495</v>
      </c>
      <c r="K34" s="354">
        <v>20</v>
      </c>
      <c r="L34" s="354" t="s">
        <v>1267</v>
      </c>
      <c r="M34" s="354">
        <v>12</v>
      </c>
      <c r="N34" s="354">
        <v>4</v>
      </c>
      <c r="O34" s="354">
        <v>31092</v>
      </c>
      <c r="P34" s="354" t="s">
        <v>1199</v>
      </c>
      <c r="Q34" s="354" t="s">
        <v>1200</v>
      </c>
      <c r="R34" s="354">
        <v>10</v>
      </c>
      <c r="S34" s="354" t="s">
        <v>1210</v>
      </c>
      <c r="T34" s="354" t="s">
        <v>1202</v>
      </c>
      <c r="U34" s="354">
        <v>800</v>
      </c>
      <c r="V34" s="355" t="s">
        <v>1217</v>
      </c>
      <c r="W34" s="354"/>
      <c r="X34" s="23" t="str">
        <f t="shared" si="0"/>
        <v>ONEPLUS 9</v>
      </c>
      <c r="Y34" s="6" t="str">
        <f t="shared" si="2"/>
        <v>oneplus 9</v>
      </c>
      <c r="Z34" s="6" t="str">
        <f t="shared" si="3"/>
        <v>Oneplus 9</v>
      </c>
      <c r="AA34" s="24" t="str">
        <f t="shared" si="1"/>
        <v>High Discount</v>
      </c>
    </row>
    <row r="35" spans="2:27">
      <c r="B35" s="353" t="s">
        <v>1367</v>
      </c>
      <c r="C35" s="354" t="s">
        <v>1296</v>
      </c>
      <c r="D35" s="354" t="s">
        <v>1166</v>
      </c>
      <c r="E35" s="354">
        <v>600</v>
      </c>
      <c r="F35" s="354">
        <v>55</v>
      </c>
      <c r="G35" s="354">
        <v>45262</v>
      </c>
      <c r="H35" s="354" t="s">
        <v>1297</v>
      </c>
      <c r="I35" s="354">
        <v>4</v>
      </c>
      <c r="J35" s="354" t="s">
        <v>498</v>
      </c>
      <c r="K35" s="354">
        <v>10</v>
      </c>
      <c r="L35" s="354" t="s">
        <v>1298</v>
      </c>
      <c r="M35" s="354">
        <v>12</v>
      </c>
      <c r="N35" s="354">
        <v>3</v>
      </c>
      <c r="O35" s="354">
        <v>32673</v>
      </c>
      <c r="P35" s="354" t="s">
        <v>1208</v>
      </c>
      <c r="Q35" s="354" t="s">
        <v>1215</v>
      </c>
      <c r="R35" s="354">
        <v>20</v>
      </c>
      <c r="S35" s="354" t="s">
        <v>1234</v>
      </c>
      <c r="T35" s="354" t="s">
        <v>443</v>
      </c>
      <c r="U35" s="354">
        <v>850</v>
      </c>
      <c r="V35" s="355" t="s">
        <v>1239</v>
      </c>
      <c r="W35" s="354"/>
      <c r="X35" s="23" t="str">
        <f t="shared" si="0"/>
        <v>SONY XPERIA 5</v>
      </c>
      <c r="Y35" s="6" t="str">
        <f t="shared" si="2"/>
        <v>sony xperia 5</v>
      </c>
      <c r="Z35" s="6" t="str">
        <f t="shared" si="3"/>
        <v>Sony Xperia 5</v>
      </c>
      <c r="AA35" s="24" t="str">
        <f t="shared" si="1"/>
        <v>Low Discount</v>
      </c>
    </row>
    <row r="36" spans="2:27">
      <c r="B36" s="353" t="s">
        <v>1368</v>
      </c>
      <c r="C36" s="354" t="s">
        <v>1301</v>
      </c>
      <c r="D36" s="354" t="s">
        <v>1166</v>
      </c>
      <c r="E36" s="354">
        <v>1000</v>
      </c>
      <c r="F36" s="354">
        <v>45</v>
      </c>
      <c r="G36" s="354" t="s">
        <v>1302</v>
      </c>
      <c r="H36" s="354" t="s">
        <v>1303</v>
      </c>
      <c r="I36" s="354">
        <v>5</v>
      </c>
      <c r="J36" s="354" t="s">
        <v>495</v>
      </c>
      <c r="K36" s="354">
        <v>15</v>
      </c>
      <c r="L36" s="354" t="s">
        <v>1304</v>
      </c>
      <c r="M36" s="354">
        <v>18</v>
      </c>
      <c r="N36" s="354">
        <v>2</v>
      </c>
      <c r="O36" s="354">
        <v>34689</v>
      </c>
      <c r="P36" s="354" t="s">
        <v>1199</v>
      </c>
      <c r="Q36" s="354" t="s">
        <v>1215</v>
      </c>
      <c r="R36" s="354">
        <v>15</v>
      </c>
      <c r="S36" s="354" t="s">
        <v>1210</v>
      </c>
      <c r="T36" s="354" t="s">
        <v>1202</v>
      </c>
      <c r="U36" s="354">
        <v>1200</v>
      </c>
      <c r="V36" s="355" t="s">
        <v>1226</v>
      </c>
      <c r="W36" s="354"/>
      <c r="X36" s="23" t="str">
        <f t="shared" si="0"/>
        <v>SAMSUNG GALAXY S21</v>
      </c>
      <c r="Y36" s="6" t="str">
        <f t="shared" si="2"/>
        <v>samsung galaxy s21</v>
      </c>
      <c r="Z36" s="6" t="str">
        <f t="shared" si="3"/>
        <v>Samsung Galaxy S21</v>
      </c>
      <c r="AA36" s="24" t="str">
        <f t="shared" si="1"/>
        <v>High Discount</v>
      </c>
    </row>
    <row r="37" spans="2:27">
      <c r="B37" s="353" t="s">
        <v>1368</v>
      </c>
      <c r="C37" s="354" t="s">
        <v>1301</v>
      </c>
      <c r="D37" s="354" t="s">
        <v>1166</v>
      </c>
      <c r="E37" s="354">
        <v>1000</v>
      </c>
      <c r="F37" s="354">
        <v>45</v>
      </c>
      <c r="G37" s="354" t="s">
        <v>1302</v>
      </c>
      <c r="H37" s="354" t="s">
        <v>1303</v>
      </c>
      <c r="I37" s="354">
        <v>5</v>
      </c>
      <c r="J37" s="354" t="s">
        <v>495</v>
      </c>
      <c r="K37" s="354">
        <v>15</v>
      </c>
      <c r="L37" s="354" t="s">
        <v>1304</v>
      </c>
      <c r="M37" s="354">
        <v>18</v>
      </c>
      <c r="N37" s="354">
        <v>2</v>
      </c>
      <c r="O37" s="354">
        <v>34689</v>
      </c>
      <c r="P37" s="354" t="s">
        <v>1199</v>
      </c>
      <c r="Q37" s="354" t="s">
        <v>1215</v>
      </c>
      <c r="R37" s="354">
        <v>15</v>
      </c>
      <c r="S37" s="354" t="s">
        <v>1210</v>
      </c>
      <c r="T37" s="354" t="s">
        <v>1202</v>
      </c>
      <c r="U37" s="354">
        <v>1200</v>
      </c>
      <c r="V37" s="355" t="s">
        <v>1226</v>
      </c>
      <c r="W37" s="354"/>
      <c r="X37" s="23" t="str">
        <f t="shared" si="0"/>
        <v>SAMSUNG GALAXY S21</v>
      </c>
      <c r="Y37" s="6" t="str">
        <f t="shared" si="2"/>
        <v>samsung galaxy s21</v>
      </c>
      <c r="Z37" s="6" t="str">
        <f t="shared" si="3"/>
        <v>Samsung Galaxy S21</v>
      </c>
      <c r="AA37" s="24" t="str">
        <f t="shared" si="1"/>
        <v>High Discount</v>
      </c>
    </row>
    <row r="38" spans="2:27">
      <c r="B38" s="353" t="s">
        <v>1369</v>
      </c>
      <c r="C38" s="354" t="s">
        <v>1308</v>
      </c>
      <c r="D38" s="354" t="s">
        <v>1166</v>
      </c>
      <c r="E38" s="354">
        <v>950</v>
      </c>
      <c r="F38" s="354">
        <v>30</v>
      </c>
      <c r="G38" s="354">
        <v>44929</v>
      </c>
      <c r="H38" s="354" t="s">
        <v>1309</v>
      </c>
      <c r="I38" s="354">
        <v>4</v>
      </c>
      <c r="J38" s="354" t="s">
        <v>505</v>
      </c>
      <c r="K38" s="354">
        <v>5</v>
      </c>
      <c r="L38" s="354" t="s">
        <v>1310</v>
      </c>
      <c r="M38" s="354">
        <v>12</v>
      </c>
      <c r="N38" s="354">
        <v>2</v>
      </c>
      <c r="O38" s="354">
        <v>33428</v>
      </c>
      <c r="P38" s="354" t="s">
        <v>1208</v>
      </c>
      <c r="Q38" s="354" t="s">
        <v>1215</v>
      </c>
      <c r="R38" s="354">
        <v>10</v>
      </c>
      <c r="S38" s="354" t="s">
        <v>1201</v>
      </c>
      <c r="T38" s="354" t="s">
        <v>1222</v>
      </c>
      <c r="U38" s="354">
        <v>1100</v>
      </c>
      <c r="V38" s="355" t="s">
        <v>1211</v>
      </c>
      <c r="W38" s="354"/>
      <c r="X38" s="23" t="str">
        <f t="shared" si="0"/>
        <v>LG V60 THINQ</v>
      </c>
      <c r="Y38" s="6" t="str">
        <f t="shared" si="2"/>
        <v>lg v60 thinq</v>
      </c>
      <c r="Z38" s="6" t="str">
        <f t="shared" si="3"/>
        <v>Lg V60 Thinq</v>
      </c>
      <c r="AA38" s="24" t="str">
        <f t="shared" si="1"/>
        <v>Low Discount</v>
      </c>
    </row>
    <row r="39" spans="2:27">
      <c r="B39" s="353" t="s">
        <v>1370</v>
      </c>
      <c r="C39" s="354" t="s">
        <v>1019</v>
      </c>
      <c r="D39" s="354" t="s">
        <v>1166</v>
      </c>
      <c r="E39" s="354">
        <v>450</v>
      </c>
      <c r="F39" s="354">
        <v>50</v>
      </c>
      <c r="G39" s="354">
        <v>45201</v>
      </c>
      <c r="H39" s="354" t="s">
        <v>1220</v>
      </c>
      <c r="I39" s="354">
        <v>3</v>
      </c>
      <c r="J39" s="354" t="s">
        <v>495</v>
      </c>
      <c r="K39" s="354">
        <v>5</v>
      </c>
      <c r="L39" s="354" t="s">
        <v>1255</v>
      </c>
      <c r="M39" s="354">
        <v>12</v>
      </c>
      <c r="N39" s="354">
        <v>4</v>
      </c>
      <c r="O39" s="354">
        <v>34197</v>
      </c>
      <c r="P39" s="354" t="s">
        <v>1199</v>
      </c>
      <c r="Q39" s="354" t="s">
        <v>1215</v>
      </c>
      <c r="R39" s="354">
        <v>15</v>
      </c>
      <c r="S39" s="354" t="s">
        <v>1210</v>
      </c>
      <c r="T39" s="354" t="s">
        <v>1202</v>
      </c>
      <c r="U39" s="354">
        <v>500</v>
      </c>
      <c r="V39" s="355" t="s">
        <v>1203</v>
      </c>
      <c r="W39" s="354"/>
      <c r="X39" s="23" t="str">
        <f t="shared" si="0"/>
        <v>NOKIA 8.3</v>
      </c>
      <c r="Y39" s="6" t="str">
        <f t="shared" si="2"/>
        <v>nokia 8.3</v>
      </c>
      <c r="Z39" s="6" t="str">
        <f t="shared" si="3"/>
        <v>Nokia 8.3</v>
      </c>
      <c r="AA39" s="24" t="str">
        <f t="shared" si="1"/>
        <v>Low Discount</v>
      </c>
    </row>
    <row r="40" spans="2:27">
      <c r="B40" s="353" t="s">
        <v>1371</v>
      </c>
      <c r="C40" s="354" t="s">
        <v>1311</v>
      </c>
      <c r="D40" s="354" t="s">
        <v>1166</v>
      </c>
      <c r="E40" s="354">
        <v>700</v>
      </c>
      <c r="F40" s="354">
        <v>40</v>
      </c>
      <c r="G40" s="354" t="s">
        <v>1312</v>
      </c>
      <c r="H40" s="354" t="s">
        <v>1228</v>
      </c>
      <c r="I40" s="354">
        <v>4</v>
      </c>
      <c r="J40" s="354" t="s">
        <v>493</v>
      </c>
      <c r="K40" s="354">
        <v>20</v>
      </c>
      <c r="L40" s="354" t="s">
        <v>1313</v>
      </c>
      <c r="M40" s="354">
        <v>18</v>
      </c>
      <c r="N40" s="354">
        <v>3</v>
      </c>
      <c r="O40" s="354">
        <v>33716</v>
      </c>
      <c r="P40" s="354" t="s">
        <v>1199</v>
      </c>
      <c r="Q40" s="354" t="s">
        <v>1209</v>
      </c>
      <c r="R40" s="354">
        <v>25</v>
      </c>
      <c r="S40" s="354" t="s">
        <v>1210</v>
      </c>
      <c r="T40" s="354" t="s">
        <v>449</v>
      </c>
      <c r="U40" s="354">
        <v>800</v>
      </c>
      <c r="V40" s="355" t="s">
        <v>1203</v>
      </c>
      <c r="W40" s="354"/>
      <c r="X40" s="23" t="str">
        <f t="shared" si="0"/>
        <v>REALME 8 PRO</v>
      </c>
      <c r="Y40" s="6" t="str">
        <f t="shared" si="2"/>
        <v>realme 8 pro</v>
      </c>
      <c r="Z40" s="6" t="str">
        <f t="shared" si="3"/>
        <v>Realme 8 Pro</v>
      </c>
      <c r="AA40" s="24" t="str">
        <f t="shared" si="1"/>
        <v>High Discount</v>
      </c>
    </row>
    <row r="41" spans="2:27">
      <c r="B41" s="353" t="s">
        <v>1372</v>
      </c>
      <c r="C41" s="354" t="s">
        <v>1223</v>
      </c>
      <c r="D41" s="354" t="s">
        <v>1166</v>
      </c>
      <c r="E41" s="354">
        <v>850</v>
      </c>
      <c r="F41" s="354">
        <v>40</v>
      </c>
      <c r="G41" s="354" t="s">
        <v>1196</v>
      </c>
      <c r="H41" s="354" t="s">
        <v>1224</v>
      </c>
      <c r="I41" s="354">
        <v>4</v>
      </c>
      <c r="J41" s="354" t="s">
        <v>493</v>
      </c>
      <c r="K41" s="354">
        <v>20</v>
      </c>
      <c r="L41" s="354" t="s">
        <v>1225</v>
      </c>
      <c r="M41" s="354">
        <v>24</v>
      </c>
      <c r="N41" s="354">
        <v>3</v>
      </c>
      <c r="O41" s="354">
        <v>35241</v>
      </c>
      <c r="P41" s="354" t="s">
        <v>1199</v>
      </c>
      <c r="Q41" s="354" t="s">
        <v>1215</v>
      </c>
      <c r="R41" s="354">
        <v>25</v>
      </c>
      <c r="S41" s="354" t="s">
        <v>1201</v>
      </c>
      <c r="T41" s="354" t="s">
        <v>440</v>
      </c>
      <c r="U41" s="354">
        <v>1200</v>
      </c>
      <c r="V41" s="355" t="s">
        <v>1226</v>
      </c>
      <c r="W41" s="354"/>
      <c r="X41" s="23" t="str">
        <f t="shared" si="0"/>
        <v>XIAOMI MI 11</v>
      </c>
      <c r="Y41" s="6" t="str">
        <f t="shared" si="2"/>
        <v>xiaomi mi 11</v>
      </c>
      <c r="Z41" s="6" t="str">
        <f t="shared" si="3"/>
        <v>Xiaomi Mi 11</v>
      </c>
      <c r="AA41" s="24" t="str">
        <f t="shared" si="1"/>
        <v>High Discount</v>
      </c>
    </row>
    <row r="42" spans="2:27">
      <c r="B42" s="353" t="s">
        <v>1373</v>
      </c>
      <c r="C42" s="354" t="s">
        <v>1317</v>
      </c>
      <c r="D42" s="354" t="s">
        <v>1166</v>
      </c>
      <c r="E42" s="354">
        <v>700</v>
      </c>
      <c r="F42" s="354">
        <v>45</v>
      </c>
      <c r="G42" s="354" t="s">
        <v>1318</v>
      </c>
      <c r="H42" s="354" t="s">
        <v>1319</v>
      </c>
      <c r="I42" s="354">
        <v>4</v>
      </c>
      <c r="J42" s="354" t="s">
        <v>495</v>
      </c>
      <c r="K42" s="354">
        <v>15</v>
      </c>
      <c r="L42" s="354" t="s">
        <v>1320</v>
      </c>
      <c r="M42" s="354">
        <v>12</v>
      </c>
      <c r="N42" s="354">
        <v>3</v>
      </c>
      <c r="O42" s="354">
        <v>32385</v>
      </c>
      <c r="P42" s="354" t="s">
        <v>1199</v>
      </c>
      <c r="Q42" s="354" t="s">
        <v>1200</v>
      </c>
      <c r="R42" s="354">
        <v>15</v>
      </c>
      <c r="S42" s="354" t="s">
        <v>1201</v>
      </c>
      <c r="T42" s="354" t="s">
        <v>1202</v>
      </c>
      <c r="U42" s="354">
        <v>900</v>
      </c>
      <c r="V42" s="355" t="s">
        <v>1235</v>
      </c>
      <c r="W42" s="354"/>
      <c r="X42" s="23" t="str">
        <f t="shared" si="0"/>
        <v>XIAOMI MI NOTE 10</v>
      </c>
      <c r="Y42" s="6" t="str">
        <f t="shared" si="2"/>
        <v>xiaomi mi note 10</v>
      </c>
      <c r="Z42" s="6" t="str">
        <f t="shared" si="3"/>
        <v>Xiaomi Mi Note 10</v>
      </c>
      <c r="AA42" s="24" t="str">
        <f t="shared" si="1"/>
        <v>High Discount</v>
      </c>
    </row>
    <row r="43" spans="2:27">
      <c r="B43" s="353" t="s">
        <v>1374</v>
      </c>
      <c r="C43" s="354" t="s">
        <v>1227</v>
      </c>
      <c r="D43" s="354" t="s">
        <v>1166</v>
      </c>
      <c r="E43" s="354">
        <v>1000</v>
      </c>
      <c r="F43" s="354">
        <v>45</v>
      </c>
      <c r="G43" s="354">
        <v>45263</v>
      </c>
      <c r="H43" s="354" t="s">
        <v>1228</v>
      </c>
      <c r="I43" s="354">
        <v>4</v>
      </c>
      <c r="J43" s="354" t="s">
        <v>495</v>
      </c>
      <c r="K43" s="354">
        <v>10</v>
      </c>
      <c r="L43" s="354" t="s">
        <v>1229</v>
      </c>
      <c r="M43" s="354">
        <v>12</v>
      </c>
      <c r="N43" s="354">
        <v>2</v>
      </c>
      <c r="O43" s="354">
        <v>34296</v>
      </c>
      <c r="P43" s="354" t="s">
        <v>1208</v>
      </c>
      <c r="Q43" s="354" t="s">
        <v>1215</v>
      </c>
      <c r="R43" s="354">
        <v>20</v>
      </c>
      <c r="S43" s="354" t="s">
        <v>1201</v>
      </c>
      <c r="T43" s="354" t="s">
        <v>450</v>
      </c>
      <c r="U43" s="354">
        <v>1100</v>
      </c>
      <c r="V43" s="355" t="s">
        <v>1217</v>
      </c>
      <c r="W43" s="354"/>
      <c r="X43" s="23" t="str">
        <f t="shared" si="0"/>
        <v>IPHONE 12 MINI</v>
      </c>
      <c r="Y43" s="6" t="str">
        <f t="shared" si="2"/>
        <v>iphone 12 mini</v>
      </c>
      <c r="Z43" s="6" t="str">
        <f t="shared" si="3"/>
        <v>Iphone 12 Mini</v>
      </c>
      <c r="AA43" s="24" t="str">
        <f t="shared" si="1"/>
        <v>Low Discount</v>
      </c>
    </row>
    <row r="44" spans="2:27">
      <c r="B44" s="353" t="s">
        <v>1375</v>
      </c>
      <c r="C44" s="354" t="s">
        <v>1287</v>
      </c>
      <c r="D44" s="354" t="s">
        <v>1166</v>
      </c>
      <c r="E44" s="354">
        <v>850</v>
      </c>
      <c r="F44" s="354">
        <v>45</v>
      </c>
      <c r="G44" s="354">
        <v>44928</v>
      </c>
      <c r="H44" s="354" t="s">
        <v>1288</v>
      </c>
      <c r="I44" s="354">
        <v>4</v>
      </c>
      <c r="J44" s="354" t="s">
        <v>505</v>
      </c>
      <c r="K44" s="354">
        <v>10</v>
      </c>
      <c r="L44" s="354" t="s">
        <v>1289</v>
      </c>
      <c r="M44" s="354">
        <v>12</v>
      </c>
      <c r="N44" s="354">
        <v>2</v>
      </c>
      <c r="O44" s="354">
        <v>32947</v>
      </c>
      <c r="P44" s="354" t="s">
        <v>1208</v>
      </c>
      <c r="Q44" s="354" t="s">
        <v>1215</v>
      </c>
      <c r="R44" s="354">
        <v>20</v>
      </c>
      <c r="S44" s="354" t="s">
        <v>1201</v>
      </c>
      <c r="T44" s="354" t="s">
        <v>450</v>
      </c>
      <c r="U44" s="354">
        <v>1000</v>
      </c>
      <c r="V44" s="355" t="s">
        <v>1203</v>
      </c>
      <c r="W44" s="354"/>
      <c r="X44" s="23" t="str">
        <f t="shared" si="0"/>
        <v>XIAOMI MI MIX 4</v>
      </c>
      <c r="Y44" s="6" t="str">
        <f t="shared" si="2"/>
        <v>xiaomi mi mix 4</v>
      </c>
      <c r="Z44" s="6" t="str">
        <f t="shared" si="3"/>
        <v>Xiaomi Mi Mix 4</v>
      </c>
      <c r="AA44" s="24" t="str">
        <f t="shared" si="1"/>
        <v>Low Discount</v>
      </c>
    </row>
    <row r="45" spans="2:27">
      <c r="B45" s="353" t="s">
        <v>1376</v>
      </c>
      <c r="C45" s="354" t="s">
        <v>1204</v>
      </c>
      <c r="D45" s="354" t="s">
        <v>1166</v>
      </c>
      <c r="E45" s="354">
        <v>750</v>
      </c>
      <c r="F45" s="354">
        <v>55</v>
      </c>
      <c r="G45" s="354" t="s">
        <v>1205</v>
      </c>
      <c r="H45" s="354" t="s">
        <v>1206</v>
      </c>
      <c r="I45" s="354">
        <v>5</v>
      </c>
      <c r="J45" s="354" t="s">
        <v>493</v>
      </c>
      <c r="K45" s="354">
        <v>15</v>
      </c>
      <c r="L45" s="354" t="s">
        <v>1207</v>
      </c>
      <c r="M45" s="354">
        <v>24</v>
      </c>
      <c r="N45" s="354">
        <v>3</v>
      </c>
      <c r="O45" s="354">
        <v>35469</v>
      </c>
      <c r="P45" s="354" t="s">
        <v>1208</v>
      </c>
      <c r="Q45" s="354" t="s">
        <v>1209</v>
      </c>
      <c r="R45" s="354">
        <v>10</v>
      </c>
      <c r="S45" s="354" t="s">
        <v>1210</v>
      </c>
      <c r="T45" s="354" t="s">
        <v>449</v>
      </c>
      <c r="U45" s="354">
        <v>950</v>
      </c>
      <c r="V45" s="355" t="s">
        <v>1211</v>
      </c>
      <c r="W45" s="354"/>
      <c r="X45" s="23" t="str">
        <f t="shared" si="0"/>
        <v>GOOGLE PIXEL 5</v>
      </c>
      <c r="Y45" s="6" t="str">
        <f t="shared" si="2"/>
        <v>google pixel 5</v>
      </c>
      <c r="Z45" s="6" t="str">
        <f t="shared" si="3"/>
        <v>Google Pixel 5</v>
      </c>
      <c r="AA45" s="24" t="str">
        <f t="shared" si="1"/>
        <v>High Discount</v>
      </c>
    </row>
    <row r="46" spans="2:27">
      <c r="B46" s="353" t="s">
        <v>1377</v>
      </c>
      <c r="C46" s="354" t="s">
        <v>1333</v>
      </c>
      <c r="D46" s="354" t="s">
        <v>1166</v>
      </c>
      <c r="E46" s="354">
        <v>1300</v>
      </c>
      <c r="F46" s="354">
        <v>30</v>
      </c>
      <c r="G46" s="354">
        <v>45263</v>
      </c>
      <c r="H46" s="354" t="s">
        <v>1323</v>
      </c>
      <c r="I46" s="354">
        <v>5</v>
      </c>
      <c r="J46" s="354" t="s">
        <v>495</v>
      </c>
      <c r="K46" s="354">
        <v>10</v>
      </c>
      <c r="L46" s="354" t="s">
        <v>1334</v>
      </c>
      <c r="M46" s="354">
        <v>24</v>
      </c>
      <c r="N46" s="354">
        <v>2</v>
      </c>
      <c r="O46" s="354">
        <v>32486</v>
      </c>
      <c r="P46" s="354" t="s">
        <v>1199</v>
      </c>
      <c r="Q46" s="354" t="s">
        <v>1200</v>
      </c>
      <c r="R46" s="354">
        <v>15</v>
      </c>
      <c r="S46" s="354" t="s">
        <v>1234</v>
      </c>
      <c r="T46" s="354" t="s">
        <v>1202</v>
      </c>
      <c r="U46" s="354">
        <v>1400</v>
      </c>
      <c r="V46" s="355" t="s">
        <v>1211</v>
      </c>
      <c r="W46" s="354"/>
      <c r="X46" s="23" t="str">
        <f t="shared" si="0"/>
        <v>APPLE IPHONE 13</v>
      </c>
      <c r="Y46" s="6" t="str">
        <f t="shared" si="2"/>
        <v>apple iphone 13</v>
      </c>
      <c r="Z46" s="6" t="str">
        <f t="shared" si="3"/>
        <v>Apple Iphone 13</v>
      </c>
      <c r="AA46" s="24" t="str">
        <f t="shared" si="1"/>
        <v>Low Discount</v>
      </c>
    </row>
    <row r="47" spans="2:27">
      <c r="B47" s="353" t="s">
        <v>1378</v>
      </c>
      <c r="C47" s="354" t="s">
        <v>1275</v>
      </c>
      <c r="D47" s="354" t="s">
        <v>1166</v>
      </c>
      <c r="E47" s="354">
        <v>1200</v>
      </c>
      <c r="F47" s="354">
        <v>30</v>
      </c>
      <c r="G47" s="354" t="s">
        <v>1276</v>
      </c>
      <c r="H47" s="354" t="s">
        <v>1277</v>
      </c>
      <c r="I47" s="354">
        <v>4</v>
      </c>
      <c r="J47" s="354" t="s">
        <v>495</v>
      </c>
      <c r="K47" s="354">
        <v>5</v>
      </c>
      <c r="L47" s="354" t="s">
        <v>1278</v>
      </c>
      <c r="M47" s="354">
        <v>18</v>
      </c>
      <c r="N47" s="354">
        <v>2</v>
      </c>
      <c r="O47" s="354">
        <v>32389</v>
      </c>
      <c r="P47" s="354" t="s">
        <v>1208</v>
      </c>
      <c r="Q47" s="354" t="s">
        <v>1215</v>
      </c>
      <c r="R47" s="354">
        <v>20</v>
      </c>
      <c r="S47" s="354" t="s">
        <v>1210</v>
      </c>
      <c r="T47" s="354" t="s">
        <v>1202</v>
      </c>
      <c r="U47" s="354">
        <v>1000</v>
      </c>
      <c r="V47" s="355" t="s">
        <v>1235</v>
      </c>
      <c r="W47" s="354"/>
      <c r="X47" s="23" t="str">
        <f t="shared" si="0"/>
        <v>MOTOROLA RAZR</v>
      </c>
      <c r="Y47" s="6" t="str">
        <f t="shared" si="2"/>
        <v>motorola razr</v>
      </c>
      <c r="Z47" s="6" t="str">
        <f t="shared" si="3"/>
        <v>Motorola Razr</v>
      </c>
      <c r="AA47" s="24" t="str">
        <f t="shared" si="1"/>
        <v>Low Discount</v>
      </c>
    </row>
    <row r="48" spans="2:27">
      <c r="B48" s="353" t="s">
        <v>1379</v>
      </c>
      <c r="C48" s="354" t="s">
        <v>1240</v>
      </c>
      <c r="D48" s="354" t="s">
        <v>1166</v>
      </c>
      <c r="E48" s="354">
        <v>950</v>
      </c>
      <c r="F48" s="354">
        <v>40</v>
      </c>
      <c r="G48" s="354" t="s">
        <v>1241</v>
      </c>
      <c r="H48" s="354" t="s">
        <v>1242</v>
      </c>
      <c r="I48" s="354">
        <v>5</v>
      </c>
      <c r="J48" s="354" t="s">
        <v>498</v>
      </c>
      <c r="K48" s="354">
        <v>15</v>
      </c>
      <c r="L48" s="354" t="s">
        <v>1243</v>
      </c>
      <c r="M48" s="354">
        <v>24</v>
      </c>
      <c r="N48" s="354">
        <v>2</v>
      </c>
      <c r="O48" s="354">
        <v>31158</v>
      </c>
      <c r="P48" s="354" t="s">
        <v>1199</v>
      </c>
      <c r="Q48" s="354" t="s">
        <v>1209</v>
      </c>
      <c r="R48" s="354">
        <v>10</v>
      </c>
      <c r="S48" s="354" t="s">
        <v>1210</v>
      </c>
      <c r="T48" s="354" t="s">
        <v>445</v>
      </c>
      <c r="U48" s="354">
        <v>1250</v>
      </c>
      <c r="V48" s="355" t="s">
        <v>1226</v>
      </c>
      <c r="W48" s="354"/>
      <c r="X48" s="23" t="str">
        <f t="shared" si="0"/>
        <v>SONY XPERIA 1</v>
      </c>
      <c r="Y48" s="6" t="str">
        <f t="shared" si="2"/>
        <v>sony xperia 1</v>
      </c>
      <c r="Z48" s="6" t="str">
        <f t="shared" si="3"/>
        <v>Sony Xperia 1</v>
      </c>
      <c r="AA48" s="24" t="str">
        <f t="shared" si="1"/>
        <v>High Discount</v>
      </c>
    </row>
    <row r="49" spans="2:27">
      <c r="B49" s="353" t="s">
        <v>1380</v>
      </c>
      <c r="C49" s="354" t="s">
        <v>1212</v>
      </c>
      <c r="D49" s="354" t="s">
        <v>1166</v>
      </c>
      <c r="E49" s="354">
        <v>500</v>
      </c>
      <c r="F49" s="354">
        <v>60</v>
      </c>
      <c r="G49" s="354">
        <v>45141</v>
      </c>
      <c r="H49" s="354" t="s">
        <v>1213</v>
      </c>
      <c r="I49" s="354">
        <v>3</v>
      </c>
      <c r="J49" s="354" t="s">
        <v>493</v>
      </c>
      <c r="K49" s="354">
        <v>20</v>
      </c>
      <c r="L49" s="354" t="s">
        <v>1214</v>
      </c>
      <c r="M49" s="354">
        <v>18</v>
      </c>
      <c r="N49" s="354">
        <v>3</v>
      </c>
      <c r="O49" s="354">
        <v>32795</v>
      </c>
      <c r="P49" s="354" t="s">
        <v>1208</v>
      </c>
      <c r="Q49" s="354" t="s">
        <v>1215</v>
      </c>
      <c r="R49" s="354">
        <v>25</v>
      </c>
      <c r="S49" s="354" t="s">
        <v>1201</v>
      </c>
      <c r="T49" s="354" t="s">
        <v>1216</v>
      </c>
      <c r="U49" s="354">
        <v>900</v>
      </c>
      <c r="V49" s="355" t="s">
        <v>1217</v>
      </c>
      <c r="W49" s="354"/>
      <c r="X49" s="23" t="str">
        <f t="shared" si="0"/>
        <v>LG WING</v>
      </c>
      <c r="Y49" s="6" t="str">
        <f t="shared" si="2"/>
        <v>lg wing</v>
      </c>
      <c r="Z49" s="6" t="str">
        <f t="shared" si="3"/>
        <v>Lg Wing</v>
      </c>
      <c r="AA49" s="24" t="str">
        <f t="shared" si="1"/>
        <v>High Discount</v>
      </c>
    </row>
    <row r="50" spans="2:27">
      <c r="B50" s="353" t="s">
        <v>1381</v>
      </c>
      <c r="C50" s="354" t="s">
        <v>1293</v>
      </c>
      <c r="D50" s="354" t="s">
        <v>1166</v>
      </c>
      <c r="E50" s="354">
        <v>1300</v>
      </c>
      <c r="F50" s="354">
        <v>20</v>
      </c>
      <c r="G50" s="354">
        <v>45110</v>
      </c>
      <c r="H50" s="354" t="s">
        <v>1294</v>
      </c>
      <c r="I50" s="354">
        <v>5</v>
      </c>
      <c r="J50" s="354" t="s">
        <v>493</v>
      </c>
      <c r="K50" s="354">
        <v>15</v>
      </c>
      <c r="L50" s="354" t="s">
        <v>1295</v>
      </c>
      <c r="M50" s="354">
        <v>18</v>
      </c>
      <c r="N50" s="354">
        <v>2</v>
      </c>
      <c r="O50" s="354">
        <v>31725</v>
      </c>
      <c r="P50" s="354" t="s">
        <v>1199</v>
      </c>
      <c r="Q50" s="354" t="s">
        <v>1209</v>
      </c>
      <c r="R50" s="354">
        <v>25</v>
      </c>
      <c r="S50" s="354" t="s">
        <v>1201</v>
      </c>
      <c r="T50" s="354" t="s">
        <v>449</v>
      </c>
      <c r="U50" s="354">
        <v>1600</v>
      </c>
      <c r="V50" s="355" t="s">
        <v>1211</v>
      </c>
      <c r="W50" s="354"/>
      <c r="X50" s="23" t="str">
        <f t="shared" si="0"/>
        <v>APPLE IPHONE 11 PRO</v>
      </c>
      <c r="Y50" s="6" t="str">
        <f t="shared" si="2"/>
        <v>apple iphone 11 pro</v>
      </c>
      <c r="Z50" s="6" t="str">
        <f t="shared" si="3"/>
        <v>Apple Iphone 11 Pro</v>
      </c>
      <c r="AA50" s="24" t="str">
        <f t="shared" si="1"/>
        <v>High Discount</v>
      </c>
    </row>
    <row r="51" spans="2:27">
      <c r="B51" s="353" t="s">
        <v>1382</v>
      </c>
      <c r="C51" s="354" t="s">
        <v>1256</v>
      </c>
      <c r="D51" s="354" t="s">
        <v>1166</v>
      </c>
      <c r="E51" s="354">
        <v>400</v>
      </c>
      <c r="F51" s="354">
        <v>90</v>
      </c>
      <c r="G51" s="354">
        <v>45049</v>
      </c>
      <c r="H51" s="354" t="s">
        <v>1257</v>
      </c>
      <c r="I51" s="354">
        <v>5</v>
      </c>
      <c r="J51" s="354" t="s">
        <v>498</v>
      </c>
      <c r="K51" s="354">
        <v>10</v>
      </c>
      <c r="L51" s="354" t="s">
        <v>1258</v>
      </c>
      <c r="M51" s="354">
        <v>6</v>
      </c>
      <c r="N51" s="354">
        <v>1</v>
      </c>
      <c r="O51" s="354">
        <v>33307</v>
      </c>
      <c r="P51" s="354" t="s">
        <v>1208</v>
      </c>
      <c r="Q51" s="354" t="s">
        <v>1200</v>
      </c>
      <c r="R51" s="354">
        <v>20</v>
      </c>
      <c r="S51" s="354" t="s">
        <v>1234</v>
      </c>
      <c r="T51" s="354" t="s">
        <v>443</v>
      </c>
      <c r="U51" s="354">
        <v>900</v>
      </c>
      <c r="V51" s="355" t="s">
        <v>1239</v>
      </c>
      <c r="W51" s="354"/>
      <c r="X51" s="23" t="str">
        <f t="shared" si="0"/>
        <v>APPLE IPHONE SE</v>
      </c>
      <c r="Y51" s="6" t="str">
        <f t="shared" si="2"/>
        <v>apple iphone se</v>
      </c>
      <c r="Z51" s="6" t="str">
        <f t="shared" si="3"/>
        <v>Apple Iphone Se</v>
      </c>
      <c r="AA51" s="24" t="str">
        <f t="shared" si="1"/>
        <v>Low Discount</v>
      </c>
    </row>
    <row r="52" spans="2:27">
      <c r="B52" s="353" t="s">
        <v>1383</v>
      </c>
      <c r="C52" s="354" t="s">
        <v>1335</v>
      </c>
      <c r="D52" s="354" t="s">
        <v>1166</v>
      </c>
      <c r="E52" s="354">
        <v>650</v>
      </c>
      <c r="F52" s="354">
        <v>45</v>
      </c>
      <c r="G52" s="354" t="s">
        <v>1318</v>
      </c>
      <c r="H52" s="354" t="s">
        <v>1336</v>
      </c>
      <c r="I52" s="354">
        <v>4</v>
      </c>
      <c r="J52" s="354" t="s">
        <v>498</v>
      </c>
      <c r="K52" s="354">
        <v>10</v>
      </c>
      <c r="L52" s="354" t="s">
        <v>1337</v>
      </c>
      <c r="M52" s="354">
        <v>18</v>
      </c>
      <c r="N52" s="354">
        <v>3</v>
      </c>
      <c r="O52" s="354">
        <v>33108</v>
      </c>
      <c r="P52" s="354" t="s">
        <v>1208</v>
      </c>
      <c r="Q52" s="354" t="s">
        <v>1215</v>
      </c>
      <c r="R52" s="354">
        <v>20</v>
      </c>
      <c r="S52" s="354" t="s">
        <v>1234</v>
      </c>
      <c r="T52" s="354" t="s">
        <v>443</v>
      </c>
      <c r="U52" s="354">
        <v>1200</v>
      </c>
      <c r="V52" s="355" t="s">
        <v>1211</v>
      </c>
      <c r="W52" s="354"/>
      <c r="X52" s="23" t="str">
        <f t="shared" si="0"/>
        <v>XIAOMI POCO X3</v>
      </c>
      <c r="Y52" s="6" t="str">
        <f t="shared" si="2"/>
        <v>xiaomi poco x3</v>
      </c>
      <c r="Z52" s="6" t="str">
        <f t="shared" si="3"/>
        <v>Xiaomi Poco X3</v>
      </c>
      <c r="AA52" s="24" t="str">
        <f t="shared" si="1"/>
        <v>Low Discount</v>
      </c>
    </row>
    <row r="53" spans="2:27">
      <c r="B53" s="353" t="s">
        <v>1384</v>
      </c>
      <c r="C53" s="354" t="s">
        <v>1305</v>
      </c>
      <c r="D53" s="354" t="s">
        <v>1166</v>
      </c>
      <c r="E53" s="354">
        <v>1100</v>
      </c>
      <c r="F53" s="354">
        <v>25</v>
      </c>
      <c r="G53" s="354" t="s">
        <v>1306</v>
      </c>
      <c r="H53" s="354" t="s">
        <v>1294</v>
      </c>
      <c r="I53" s="354">
        <v>5</v>
      </c>
      <c r="J53" s="354" t="s">
        <v>493</v>
      </c>
      <c r="K53" s="354">
        <v>15</v>
      </c>
      <c r="L53" s="354" t="s">
        <v>1307</v>
      </c>
      <c r="M53" s="354">
        <v>24</v>
      </c>
      <c r="N53" s="354">
        <v>1</v>
      </c>
      <c r="O53" s="354">
        <v>32281</v>
      </c>
      <c r="P53" s="354" t="s">
        <v>1199</v>
      </c>
      <c r="Q53" s="354" t="s">
        <v>1200</v>
      </c>
      <c r="R53" s="354">
        <v>25</v>
      </c>
      <c r="S53" s="354" t="s">
        <v>1210</v>
      </c>
      <c r="T53" s="354" t="s">
        <v>440</v>
      </c>
      <c r="U53" s="354">
        <v>1500</v>
      </c>
      <c r="V53" s="355" t="s">
        <v>1274</v>
      </c>
      <c r="W53" s="354"/>
      <c r="X53" s="23" t="str">
        <f t="shared" si="0"/>
        <v>HUAWEI MATE 40</v>
      </c>
      <c r="Y53" s="6" t="str">
        <f t="shared" si="2"/>
        <v>huawei mate 40</v>
      </c>
      <c r="Z53" s="6" t="str">
        <f t="shared" si="3"/>
        <v>Huawei Mate 40</v>
      </c>
      <c r="AA53" s="24" t="str">
        <f t="shared" si="1"/>
        <v>High Discount</v>
      </c>
    </row>
    <row r="54" spans="2:27">
      <c r="B54" s="353" t="s">
        <v>1385</v>
      </c>
      <c r="C54" s="354" t="s">
        <v>1218</v>
      </c>
      <c r="D54" s="354" t="s">
        <v>1166</v>
      </c>
      <c r="E54" s="354">
        <v>700</v>
      </c>
      <c r="F54" s="354">
        <v>40</v>
      </c>
      <c r="G54" s="354" t="s">
        <v>1219</v>
      </c>
      <c r="H54" s="354" t="s">
        <v>1220</v>
      </c>
      <c r="I54" s="354">
        <v>3</v>
      </c>
      <c r="J54" s="354" t="s">
        <v>505</v>
      </c>
      <c r="K54" s="354">
        <v>5</v>
      </c>
      <c r="L54" s="354" t="s">
        <v>1221</v>
      </c>
      <c r="M54" s="354">
        <v>12</v>
      </c>
      <c r="N54" s="354">
        <v>4</v>
      </c>
      <c r="O54" s="354">
        <v>34650</v>
      </c>
      <c r="P54" s="354" t="s">
        <v>1208</v>
      </c>
      <c r="Q54" s="354" t="s">
        <v>1209</v>
      </c>
      <c r="R54" s="354">
        <v>10</v>
      </c>
      <c r="S54" s="354" t="s">
        <v>1201</v>
      </c>
      <c r="T54" s="354" t="s">
        <v>1222</v>
      </c>
      <c r="U54" s="354">
        <v>800</v>
      </c>
      <c r="V54" s="355" t="s">
        <v>1203</v>
      </c>
      <c r="W54" s="354"/>
      <c r="X54" s="23" t="str">
        <f t="shared" si="0"/>
        <v>OPPO FIND X2</v>
      </c>
      <c r="Y54" s="6" t="str">
        <f t="shared" si="2"/>
        <v>oppo find x2</v>
      </c>
      <c r="Z54" s="6" t="str">
        <f t="shared" si="3"/>
        <v>Oppo Find X2</v>
      </c>
      <c r="AA54" s="24" t="str">
        <f t="shared" si="1"/>
        <v>Low Discount</v>
      </c>
    </row>
    <row r="55" spans="2:27">
      <c r="B55" s="353" t="s">
        <v>1386</v>
      </c>
      <c r="C55" s="354" t="s">
        <v>1325</v>
      </c>
      <c r="D55" s="354" t="s">
        <v>1166</v>
      </c>
      <c r="E55" s="354">
        <v>850</v>
      </c>
      <c r="F55" s="354">
        <v>35</v>
      </c>
      <c r="G55" s="354" t="s">
        <v>1326</v>
      </c>
      <c r="H55" s="354" t="s">
        <v>1327</v>
      </c>
      <c r="I55" s="354">
        <v>4</v>
      </c>
      <c r="J55" s="354" t="s">
        <v>495</v>
      </c>
      <c r="K55" s="354">
        <v>20</v>
      </c>
      <c r="L55" s="354" t="s">
        <v>1328</v>
      </c>
      <c r="M55" s="354">
        <v>6</v>
      </c>
      <c r="N55" s="354">
        <v>2</v>
      </c>
      <c r="O55" s="354">
        <v>33496</v>
      </c>
      <c r="P55" s="354" t="s">
        <v>1199</v>
      </c>
      <c r="Q55" s="354" t="s">
        <v>1215</v>
      </c>
      <c r="R55" s="354">
        <v>15</v>
      </c>
      <c r="S55" s="354" t="s">
        <v>1234</v>
      </c>
      <c r="T55" s="354" t="s">
        <v>1202</v>
      </c>
      <c r="U55" s="354">
        <v>1000</v>
      </c>
      <c r="V55" s="355" t="s">
        <v>1217</v>
      </c>
      <c r="W55" s="354"/>
      <c r="X55" s="23" t="str">
        <f t="shared" si="0"/>
        <v>VIVO V21</v>
      </c>
      <c r="Y55" s="6" t="str">
        <f t="shared" si="2"/>
        <v>vivo v21</v>
      </c>
      <c r="Z55" s="6" t="str">
        <f t="shared" si="3"/>
        <v>Vivo V21</v>
      </c>
      <c r="AA55" s="24" t="str">
        <f t="shared" si="1"/>
        <v>High Discount</v>
      </c>
    </row>
    <row r="56" spans="2:27">
      <c r="B56" s="353" t="s">
        <v>1387</v>
      </c>
      <c r="C56" s="354" t="s">
        <v>1025</v>
      </c>
      <c r="D56" s="354" t="s">
        <v>1166</v>
      </c>
      <c r="E56" s="354">
        <v>500</v>
      </c>
      <c r="F56" s="354">
        <v>50</v>
      </c>
      <c r="G56" s="354" t="s">
        <v>1236</v>
      </c>
      <c r="H56" s="354" t="s">
        <v>1237</v>
      </c>
      <c r="I56" s="354">
        <v>4</v>
      </c>
      <c r="J56" s="354" t="s">
        <v>498</v>
      </c>
      <c r="K56" s="354">
        <v>10</v>
      </c>
      <c r="L56" s="354" t="s">
        <v>1238</v>
      </c>
      <c r="M56" s="354">
        <v>12</v>
      </c>
      <c r="N56" s="354">
        <v>3</v>
      </c>
      <c r="O56" s="354">
        <v>31983</v>
      </c>
      <c r="P56" s="354" t="s">
        <v>1208</v>
      </c>
      <c r="Q56" s="354" t="s">
        <v>1200</v>
      </c>
      <c r="R56" s="354">
        <v>20</v>
      </c>
      <c r="S56" s="354" t="s">
        <v>1210</v>
      </c>
      <c r="T56" s="354" t="s">
        <v>443</v>
      </c>
      <c r="U56" s="354">
        <v>900</v>
      </c>
      <c r="V56" s="355" t="s">
        <v>1239</v>
      </c>
      <c r="W56" s="354"/>
      <c r="X56" s="23" t="str">
        <f t="shared" si="0"/>
        <v>ZTE AXON 20</v>
      </c>
      <c r="Y56" s="6" t="str">
        <f t="shared" si="2"/>
        <v>zte axon 20</v>
      </c>
      <c r="Z56" s="6" t="str">
        <f t="shared" si="3"/>
        <v>Zte Axon 20</v>
      </c>
      <c r="AA56" s="24" t="str">
        <f t="shared" si="1"/>
        <v>Low Discount</v>
      </c>
    </row>
    <row r="57" spans="2:27">
      <c r="B57" s="353" t="s">
        <v>1388</v>
      </c>
      <c r="C57" s="354" t="s">
        <v>1035</v>
      </c>
      <c r="D57" s="354" t="s">
        <v>1166</v>
      </c>
      <c r="E57" s="354">
        <v>900</v>
      </c>
      <c r="F57" s="354">
        <v>60</v>
      </c>
      <c r="G57" s="354">
        <v>45048</v>
      </c>
      <c r="H57" s="354" t="s">
        <v>1263</v>
      </c>
      <c r="I57" s="354">
        <v>5</v>
      </c>
      <c r="J57" s="354" t="s">
        <v>493</v>
      </c>
      <c r="K57" s="354">
        <v>10</v>
      </c>
      <c r="L57" s="354" t="s">
        <v>1264</v>
      </c>
      <c r="M57" s="354">
        <v>24</v>
      </c>
      <c r="N57" s="354">
        <v>2</v>
      </c>
      <c r="O57" s="354">
        <v>33647</v>
      </c>
      <c r="P57" s="354" t="s">
        <v>1199</v>
      </c>
      <c r="Q57" s="354" t="s">
        <v>1215</v>
      </c>
      <c r="R57" s="354">
        <v>15</v>
      </c>
      <c r="S57" s="354" t="s">
        <v>1201</v>
      </c>
      <c r="T57" s="354" t="s">
        <v>440</v>
      </c>
      <c r="U57" s="354">
        <v>1000</v>
      </c>
      <c r="V57" s="355" t="s">
        <v>1217</v>
      </c>
      <c r="W57" s="354"/>
      <c r="X57" s="23" t="str">
        <f t="shared" si="0"/>
        <v>REALME GT</v>
      </c>
      <c r="Y57" s="6" t="str">
        <f t="shared" si="2"/>
        <v>realme gt</v>
      </c>
      <c r="Z57" s="6" t="str">
        <f t="shared" si="3"/>
        <v>Realme Gt</v>
      </c>
      <c r="AA57" s="24" t="str">
        <f t="shared" si="1"/>
        <v>Low Discount</v>
      </c>
    </row>
    <row r="58" spans="2:27">
      <c r="B58" s="353" t="s">
        <v>1388</v>
      </c>
      <c r="C58" s="354" t="s">
        <v>1035</v>
      </c>
      <c r="D58" s="354" t="s">
        <v>1166</v>
      </c>
      <c r="E58" s="354">
        <v>900</v>
      </c>
      <c r="F58" s="354">
        <v>60</v>
      </c>
      <c r="G58" s="354">
        <v>45048</v>
      </c>
      <c r="H58" s="354" t="s">
        <v>1263</v>
      </c>
      <c r="I58" s="354">
        <v>5</v>
      </c>
      <c r="J58" s="354" t="s">
        <v>493</v>
      </c>
      <c r="K58" s="354">
        <v>10</v>
      </c>
      <c r="L58" s="354" t="s">
        <v>1264</v>
      </c>
      <c r="M58" s="354">
        <v>24</v>
      </c>
      <c r="N58" s="354">
        <v>2</v>
      </c>
      <c r="O58" s="354">
        <v>33647</v>
      </c>
      <c r="P58" s="354" t="s">
        <v>1199</v>
      </c>
      <c r="Q58" s="354" t="s">
        <v>1215</v>
      </c>
      <c r="R58" s="354">
        <v>15</v>
      </c>
      <c r="S58" s="354" t="s">
        <v>1201</v>
      </c>
      <c r="T58" s="354" t="s">
        <v>440</v>
      </c>
      <c r="U58" s="354">
        <v>1000</v>
      </c>
      <c r="V58" s="355" t="s">
        <v>1217</v>
      </c>
      <c r="W58" s="354"/>
      <c r="X58" s="23" t="str">
        <f t="shared" si="0"/>
        <v>REALME GT</v>
      </c>
      <c r="Y58" s="6" t="str">
        <f t="shared" si="2"/>
        <v>realme gt</v>
      </c>
      <c r="Z58" s="6" t="str">
        <f t="shared" si="3"/>
        <v>Realme Gt</v>
      </c>
      <c r="AA58" s="24" t="str">
        <f t="shared" si="1"/>
        <v>Low Discount</v>
      </c>
    </row>
    <row r="59" spans="2:27">
      <c r="B59" s="353" t="s">
        <v>1389</v>
      </c>
      <c r="C59" s="354" t="s">
        <v>1033</v>
      </c>
      <c r="D59" s="354" t="s">
        <v>1166</v>
      </c>
      <c r="E59" s="354">
        <v>1500</v>
      </c>
      <c r="F59" s="354">
        <v>20</v>
      </c>
      <c r="G59" s="354" t="s">
        <v>1259</v>
      </c>
      <c r="H59" s="354" t="s">
        <v>1260</v>
      </c>
      <c r="I59" s="354">
        <v>5</v>
      </c>
      <c r="J59" s="354" t="s">
        <v>505</v>
      </c>
      <c r="K59" s="354">
        <v>15</v>
      </c>
      <c r="L59" s="354" t="s">
        <v>1261</v>
      </c>
      <c r="M59" s="354">
        <v>18</v>
      </c>
      <c r="N59" s="354">
        <v>1</v>
      </c>
      <c r="O59" s="354">
        <v>35053</v>
      </c>
      <c r="P59" s="354" t="s">
        <v>1208</v>
      </c>
      <c r="Q59" s="354" t="s">
        <v>1209</v>
      </c>
      <c r="R59" s="354">
        <v>10</v>
      </c>
      <c r="S59" s="354" t="s">
        <v>1234</v>
      </c>
      <c r="T59" s="354" t="s">
        <v>1222</v>
      </c>
      <c r="U59" s="354">
        <v>1500</v>
      </c>
      <c r="V59" s="355" t="s">
        <v>1262</v>
      </c>
      <c r="W59" s="354"/>
      <c r="X59" s="23" t="str">
        <f t="shared" si="0"/>
        <v>ASUS ROG PHONE 5</v>
      </c>
      <c r="Y59" s="6" t="str">
        <f t="shared" si="2"/>
        <v>asus rog phone 5</v>
      </c>
      <c r="Z59" s="6" t="str">
        <f t="shared" si="3"/>
        <v>Asus Rog Phone 5</v>
      </c>
      <c r="AA59" s="24" t="str">
        <f t="shared" si="1"/>
        <v>High Discount</v>
      </c>
    </row>
    <row r="60" spans="2:27">
      <c r="B60" s="353" t="s">
        <v>1390</v>
      </c>
      <c r="C60" s="354" t="s">
        <v>1284</v>
      </c>
      <c r="D60" s="354" t="s">
        <v>1166</v>
      </c>
      <c r="E60" s="354">
        <v>1300</v>
      </c>
      <c r="F60" s="354">
        <v>30</v>
      </c>
      <c r="G60" s="354">
        <v>45261</v>
      </c>
      <c r="H60" s="354" t="s">
        <v>1285</v>
      </c>
      <c r="I60" s="354">
        <v>5</v>
      </c>
      <c r="J60" s="354" t="s">
        <v>495</v>
      </c>
      <c r="K60" s="354">
        <v>5</v>
      </c>
      <c r="L60" s="354" t="s">
        <v>1286</v>
      </c>
      <c r="M60" s="354">
        <v>6</v>
      </c>
      <c r="N60" s="354">
        <v>2</v>
      </c>
      <c r="O60" s="354">
        <v>32786</v>
      </c>
      <c r="P60" s="354" t="s">
        <v>1199</v>
      </c>
      <c r="Q60" s="354" t="s">
        <v>1200</v>
      </c>
      <c r="R60" s="354">
        <v>15</v>
      </c>
      <c r="S60" s="354" t="s">
        <v>1210</v>
      </c>
      <c r="T60" s="354" t="s">
        <v>1202</v>
      </c>
      <c r="U60" s="354">
        <v>1400</v>
      </c>
      <c r="V60" s="355" t="s">
        <v>1250</v>
      </c>
      <c r="W60" s="354"/>
      <c r="X60" s="23" t="str">
        <f t="shared" si="0"/>
        <v>LENOVO LEGION DUEL</v>
      </c>
      <c r="Y60" s="6" t="str">
        <f t="shared" si="2"/>
        <v>lenovo legion duel</v>
      </c>
      <c r="Z60" s="6" t="str">
        <f t="shared" si="3"/>
        <v>Lenovo Legion Duel</v>
      </c>
      <c r="AA60" s="24" t="str">
        <f t="shared" si="1"/>
        <v>Low Discount</v>
      </c>
    </row>
    <row r="61" spans="2:27">
      <c r="B61" s="353" t="s">
        <v>1391</v>
      </c>
      <c r="C61" s="354" t="s">
        <v>1037</v>
      </c>
      <c r="D61" s="354" t="s">
        <v>1166</v>
      </c>
      <c r="E61" s="354">
        <v>750</v>
      </c>
      <c r="F61" s="354">
        <v>50</v>
      </c>
      <c r="G61" s="354">
        <v>45110</v>
      </c>
      <c r="H61" s="354" t="s">
        <v>1299</v>
      </c>
      <c r="I61" s="354">
        <v>4</v>
      </c>
      <c r="J61" s="354" t="s">
        <v>498</v>
      </c>
      <c r="K61" s="354">
        <v>20</v>
      </c>
      <c r="L61" s="354" t="s">
        <v>1300</v>
      </c>
      <c r="M61" s="354">
        <v>24</v>
      </c>
      <c r="N61" s="354">
        <v>2</v>
      </c>
      <c r="O61" s="354">
        <v>32943</v>
      </c>
      <c r="P61" s="354" t="s">
        <v>1208</v>
      </c>
      <c r="Q61" s="354" t="s">
        <v>1215</v>
      </c>
      <c r="R61" s="354">
        <v>20</v>
      </c>
      <c r="S61" s="354" t="s">
        <v>1201</v>
      </c>
      <c r="T61" s="354" t="s">
        <v>443</v>
      </c>
      <c r="U61" s="354">
        <v>1000</v>
      </c>
      <c r="V61" s="355" t="s">
        <v>1274</v>
      </c>
      <c r="W61" s="354"/>
      <c r="X61" s="23" t="str">
        <f t="shared" si="0"/>
        <v>HONOR 50</v>
      </c>
      <c r="Y61" s="6" t="str">
        <f t="shared" si="2"/>
        <v>honor 50</v>
      </c>
      <c r="Z61" s="6" t="str">
        <f t="shared" si="3"/>
        <v>Honor 50</v>
      </c>
      <c r="AA61" s="24" t="str">
        <f t="shared" si="1"/>
        <v>High Discount</v>
      </c>
    </row>
    <row r="62" spans="2:27">
      <c r="B62" s="353" t="s">
        <v>1392</v>
      </c>
      <c r="C62" s="354" t="s">
        <v>1314</v>
      </c>
      <c r="D62" s="354" t="s">
        <v>1166</v>
      </c>
      <c r="E62" s="354">
        <v>800</v>
      </c>
      <c r="F62" s="354">
        <v>35</v>
      </c>
      <c r="G62" s="354">
        <v>45261</v>
      </c>
      <c r="H62" s="354" t="s">
        <v>1315</v>
      </c>
      <c r="I62" s="354">
        <v>4</v>
      </c>
      <c r="J62" s="354" t="s">
        <v>498</v>
      </c>
      <c r="K62" s="354">
        <v>10</v>
      </c>
      <c r="L62" s="354" t="s">
        <v>1316</v>
      </c>
      <c r="M62" s="354">
        <v>24</v>
      </c>
      <c r="N62" s="354">
        <v>2</v>
      </c>
      <c r="O62" s="354">
        <v>32929</v>
      </c>
      <c r="P62" s="354" t="s">
        <v>1208</v>
      </c>
      <c r="Q62" s="354" t="s">
        <v>1215</v>
      </c>
      <c r="R62" s="354">
        <v>20</v>
      </c>
      <c r="S62" s="354" t="s">
        <v>1234</v>
      </c>
      <c r="T62" s="354" t="s">
        <v>443</v>
      </c>
      <c r="U62" s="354">
        <v>1100</v>
      </c>
      <c r="V62" s="355" t="s">
        <v>1217</v>
      </c>
      <c r="W62" s="354"/>
      <c r="X62" s="23" t="str">
        <f t="shared" si="0"/>
        <v>HONOR V40</v>
      </c>
      <c r="Y62" s="6" t="str">
        <f t="shared" si="2"/>
        <v>honor v40</v>
      </c>
      <c r="Z62" s="6" t="str">
        <f t="shared" si="3"/>
        <v>Honor V40</v>
      </c>
      <c r="AA62" s="24" t="str">
        <f t="shared" si="1"/>
        <v>Low Discount</v>
      </c>
    </row>
    <row r="63" spans="2:27">
      <c r="B63" s="353" t="s">
        <v>1393</v>
      </c>
      <c r="C63" s="354" t="s">
        <v>1279</v>
      </c>
      <c r="D63" s="354" t="s">
        <v>1166</v>
      </c>
      <c r="E63" s="354">
        <v>1100</v>
      </c>
      <c r="F63" s="354">
        <v>40</v>
      </c>
      <c r="G63" s="354" t="s">
        <v>1280</v>
      </c>
      <c r="H63" s="354" t="s">
        <v>1281</v>
      </c>
      <c r="I63" s="354">
        <v>5</v>
      </c>
      <c r="J63" s="354" t="s">
        <v>505</v>
      </c>
      <c r="K63" s="354">
        <v>15</v>
      </c>
      <c r="L63" s="354" t="s">
        <v>1282</v>
      </c>
      <c r="M63" s="354">
        <v>18</v>
      </c>
      <c r="N63" s="354">
        <v>1</v>
      </c>
      <c r="O63" s="354">
        <v>34344</v>
      </c>
      <c r="P63" s="354" t="s">
        <v>1208</v>
      </c>
      <c r="Q63" s="354" t="s">
        <v>1215</v>
      </c>
      <c r="R63" s="354">
        <v>10</v>
      </c>
      <c r="S63" s="354" t="s">
        <v>1210</v>
      </c>
      <c r="T63" s="354" t="s">
        <v>1222</v>
      </c>
      <c r="U63" s="354">
        <v>1200</v>
      </c>
      <c r="V63" s="355" t="s">
        <v>1283</v>
      </c>
      <c r="W63" s="354"/>
      <c r="X63" s="23" t="str">
        <f t="shared" si="0"/>
        <v>APPLE IPHONE 12</v>
      </c>
      <c r="Y63" s="6" t="str">
        <f t="shared" si="2"/>
        <v>apple iphone 12</v>
      </c>
      <c r="Z63" s="6" t="str">
        <f t="shared" si="3"/>
        <v>Apple Iphone 12</v>
      </c>
      <c r="AA63" s="24" t="str">
        <f t="shared" si="1"/>
        <v>High Discount</v>
      </c>
    </row>
    <row r="64" spans="2:27">
      <c r="B64" s="353" t="s">
        <v>1394</v>
      </c>
      <c r="C64" s="354" t="s">
        <v>1195</v>
      </c>
      <c r="D64" s="354" t="s">
        <v>1166</v>
      </c>
      <c r="E64" s="354">
        <v>1800</v>
      </c>
      <c r="F64" s="354">
        <v>15</v>
      </c>
      <c r="G64" s="354" t="s">
        <v>1196</v>
      </c>
      <c r="H64" s="354" t="s">
        <v>1197</v>
      </c>
      <c r="I64" s="354">
        <v>5</v>
      </c>
      <c r="J64" s="354" t="s">
        <v>495</v>
      </c>
      <c r="K64" s="354">
        <v>5</v>
      </c>
      <c r="L64" s="354" t="s">
        <v>1198</v>
      </c>
      <c r="M64" s="354">
        <v>6</v>
      </c>
      <c r="N64" s="354">
        <v>2</v>
      </c>
      <c r="O64" s="354">
        <v>33315</v>
      </c>
      <c r="P64" s="354" t="s">
        <v>1199</v>
      </c>
      <c r="Q64" s="354" t="s">
        <v>1200</v>
      </c>
      <c r="R64" s="354">
        <v>15</v>
      </c>
      <c r="S64" s="354" t="s">
        <v>1201</v>
      </c>
      <c r="T64" s="354" t="s">
        <v>1202</v>
      </c>
      <c r="U64" s="354">
        <v>2000</v>
      </c>
      <c r="V64" s="355" t="s">
        <v>1203</v>
      </c>
      <c r="W64" s="354"/>
      <c r="X64" s="23" t="str">
        <f t="shared" si="0"/>
        <v>SAMSUNG GALAXY Z FOLD2</v>
      </c>
      <c r="Y64" s="6" t="str">
        <f t="shared" si="2"/>
        <v>samsung galaxy z fold2</v>
      </c>
      <c r="Z64" s="6" t="str">
        <f t="shared" si="3"/>
        <v>Samsung Galaxy Z Fold2</v>
      </c>
      <c r="AA64" s="24" t="str">
        <f t="shared" si="1"/>
        <v>Low Discount</v>
      </c>
    </row>
    <row r="65" spans="2:45">
      <c r="B65" s="353" t="s">
        <v>1395</v>
      </c>
      <c r="C65" s="354" t="s">
        <v>1244</v>
      </c>
      <c r="D65" s="354" t="s">
        <v>1166</v>
      </c>
      <c r="E65" s="354">
        <v>400</v>
      </c>
      <c r="F65" s="354">
        <v>80</v>
      </c>
      <c r="G65" s="354" t="s">
        <v>1245</v>
      </c>
      <c r="H65" s="354" t="s">
        <v>1246</v>
      </c>
      <c r="I65" s="354">
        <v>4</v>
      </c>
      <c r="J65" s="354" t="s">
        <v>498</v>
      </c>
      <c r="K65" s="354">
        <v>10</v>
      </c>
      <c r="L65" s="354" t="s">
        <v>1247</v>
      </c>
      <c r="M65" s="354">
        <v>24</v>
      </c>
      <c r="N65" s="354">
        <v>3</v>
      </c>
      <c r="O65" s="354">
        <v>31220</v>
      </c>
      <c r="P65" s="354" t="s">
        <v>1208</v>
      </c>
      <c r="Q65" s="354" t="s">
        <v>1215</v>
      </c>
      <c r="R65" s="354">
        <v>20</v>
      </c>
      <c r="S65" s="354" t="s">
        <v>1234</v>
      </c>
      <c r="T65" s="354" t="s">
        <v>443</v>
      </c>
      <c r="U65" s="354">
        <v>900</v>
      </c>
      <c r="V65" s="355" t="s">
        <v>1226</v>
      </c>
      <c r="W65" s="354"/>
      <c r="X65" s="23" t="str">
        <f t="shared" si="0"/>
        <v>GOOGLE PIXEL 4A</v>
      </c>
      <c r="Y65" s="6" t="str">
        <f t="shared" si="2"/>
        <v>google pixel 4a</v>
      </c>
      <c r="Z65" s="6" t="str">
        <f t="shared" si="3"/>
        <v>Google Pixel 4A</v>
      </c>
      <c r="AA65" s="24" t="str">
        <f t="shared" si="1"/>
        <v>Low Discount</v>
      </c>
    </row>
    <row r="66" spans="2:45">
      <c r="B66" s="353" t="s">
        <v>1396</v>
      </c>
      <c r="C66" s="354" t="s">
        <v>1338</v>
      </c>
      <c r="D66" s="354" t="s">
        <v>1166</v>
      </c>
      <c r="E66" s="354">
        <v>700</v>
      </c>
      <c r="F66" s="354">
        <v>70</v>
      </c>
      <c r="G66" s="354" t="s">
        <v>1339</v>
      </c>
      <c r="H66" s="354" t="s">
        <v>1327</v>
      </c>
      <c r="I66" s="354">
        <v>4</v>
      </c>
      <c r="J66" s="354" t="s">
        <v>493</v>
      </c>
      <c r="K66" s="354">
        <v>20</v>
      </c>
      <c r="L66" s="354" t="s">
        <v>1340</v>
      </c>
      <c r="M66" s="354">
        <v>12</v>
      </c>
      <c r="N66" s="354">
        <v>2</v>
      </c>
      <c r="O66" s="354">
        <v>33876</v>
      </c>
      <c r="P66" s="354" t="s">
        <v>1199</v>
      </c>
      <c r="Q66" s="354" t="s">
        <v>1200</v>
      </c>
      <c r="R66" s="354">
        <v>25</v>
      </c>
      <c r="S66" s="354" t="s">
        <v>1210</v>
      </c>
      <c r="T66" s="354" t="s">
        <v>440</v>
      </c>
      <c r="U66" s="354">
        <v>1000</v>
      </c>
      <c r="V66" s="355" t="s">
        <v>1217</v>
      </c>
      <c r="W66" s="354"/>
      <c r="X66" s="23" t="str">
        <f t="shared" si="0"/>
        <v>ONEPLUS NORD N10</v>
      </c>
      <c r="Y66" s="6" t="str">
        <f t="shared" si="2"/>
        <v>oneplus nord n10</v>
      </c>
      <c r="Z66" s="6" t="str">
        <f t="shared" si="3"/>
        <v>Oneplus Nord N10</v>
      </c>
      <c r="AA66" s="24" t="str">
        <f t="shared" si="1"/>
        <v>High Discount</v>
      </c>
    </row>
    <row r="67" spans="2:45">
      <c r="B67" s="353" t="s">
        <v>1397</v>
      </c>
      <c r="C67" s="354" t="s">
        <v>1251</v>
      </c>
      <c r="D67" s="354" t="s">
        <v>1166</v>
      </c>
      <c r="E67" s="354">
        <v>300</v>
      </c>
      <c r="F67" s="354">
        <v>90</v>
      </c>
      <c r="G67" s="354" t="s">
        <v>1252</v>
      </c>
      <c r="H67" s="354" t="s">
        <v>1253</v>
      </c>
      <c r="I67" s="354">
        <v>4</v>
      </c>
      <c r="J67" s="354" t="s">
        <v>505</v>
      </c>
      <c r="K67" s="354">
        <v>5</v>
      </c>
      <c r="L67" s="354" t="s">
        <v>1254</v>
      </c>
      <c r="M67" s="354">
        <v>18</v>
      </c>
      <c r="N67" s="354">
        <v>4</v>
      </c>
      <c r="O67" s="354">
        <v>33224</v>
      </c>
      <c r="P67" s="354" t="s">
        <v>1208</v>
      </c>
      <c r="Q67" s="354" t="s">
        <v>1215</v>
      </c>
      <c r="R67" s="354">
        <v>10</v>
      </c>
      <c r="S67" s="354" t="s">
        <v>1201</v>
      </c>
      <c r="T67" s="354" t="s">
        <v>1222</v>
      </c>
      <c r="U67" s="354">
        <v>700</v>
      </c>
      <c r="V67" s="355" t="s">
        <v>1211</v>
      </c>
      <c r="W67" s="354"/>
      <c r="X67" s="23" t="str">
        <f t="shared" si="0"/>
        <v>MOTOROLA G STYLUS</v>
      </c>
      <c r="Y67" s="6" t="str">
        <f t="shared" si="2"/>
        <v>motorola g stylus</v>
      </c>
      <c r="Z67" s="6" t="str">
        <f t="shared" si="3"/>
        <v>Motorola G Stylus</v>
      </c>
      <c r="AA67" s="24" t="str">
        <f t="shared" si="1"/>
        <v>Low Discount</v>
      </c>
    </row>
    <row r="68" spans="2:45">
      <c r="B68" s="353" t="s">
        <v>1398</v>
      </c>
      <c r="C68" s="354" t="s">
        <v>1271</v>
      </c>
      <c r="D68" s="354" t="s">
        <v>1166</v>
      </c>
      <c r="E68" s="354">
        <v>600</v>
      </c>
      <c r="F68" s="354">
        <v>50</v>
      </c>
      <c r="G68" s="354">
        <v>45019</v>
      </c>
      <c r="H68" s="354" t="s">
        <v>1272</v>
      </c>
      <c r="I68" s="354">
        <v>3</v>
      </c>
      <c r="J68" s="354" t="s">
        <v>495</v>
      </c>
      <c r="K68" s="354">
        <v>10</v>
      </c>
      <c r="L68" s="354" t="s">
        <v>1273</v>
      </c>
      <c r="M68" s="354">
        <v>24</v>
      </c>
      <c r="N68" s="354">
        <v>3</v>
      </c>
      <c r="O68" s="354">
        <v>34061</v>
      </c>
      <c r="P68" s="354" t="s">
        <v>1199</v>
      </c>
      <c r="Q68" s="354" t="s">
        <v>1200</v>
      </c>
      <c r="R68" s="354">
        <v>15</v>
      </c>
      <c r="S68" s="354" t="s">
        <v>1234</v>
      </c>
      <c r="T68" s="354" t="s">
        <v>1202</v>
      </c>
      <c r="U68" s="354">
        <v>800</v>
      </c>
      <c r="V68" s="355" t="s">
        <v>1274</v>
      </c>
      <c r="W68" s="354"/>
      <c r="X68" s="23" t="str">
        <f t="shared" si="0"/>
        <v>SONY XPERIA 10 II</v>
      </c>
      <c r="Y68" s="6" t="str">
        <f t="shared" si="2"/>
        <v>sony xperia 10 ii</v>
      </c>
      <c r="Z68" s="6" t="str">
        <f t="shared" si="3"/>
        <v>Sony Xperia 10 Ii</v>
      </c>
      <c r="AA68" s="24" t="str">
        <f t="shared" si="1"/>
        <v>Low Discount</v>
      </c>
    </row>
    <row r="69" spans="2:45">
      <c r="B69" s="353" t="s">
        <v>1399</v>
      </c>
      <c r="C69" s="354" t="s">
        <v>1268</v>
      </c>
      <c r="D69" s="354" t="s">
        <v>1166</v>
      </c>
      <c r="E69" s="354">
        <v>300</v>
      </c>
      <c r="F69" s="354">
        <v>100</v>
      </c>
      <c r="G69" s="354" t="s">
        <v>1231</v>
      </c>
      <c r="H69" s="354" t="s">
        <v>1269</v>
      </c>
      <c r="I69" s="354">
        <v>3</v>
      </c>
      <c r="J69" s="354" t="s">
        <v>493</v>
      </c>
      <c r="K69" s="354">
        <v>10</v>
      </c>
      <c r="L69" s="354" t="s">
        <v>1270</v>
      </c>
      <c r="M69" s="354">
        <v>12</v>
      </c>
      <c r="N69" s="354">
        <v>4</v>
      </c>
      <c r="O69" s="354">
        <v>35010</v>
      </c>
      <c r="P69" s="354" t="s">
        <v>1199</v>
      </c>
      <c r="Q69" s="354" t="s">
        <v>1200</v>
      </c>
      <c r="R69" s="354">
        <v>25</v>
      </c>
      <c r="S69" s="354" t="s">
        <v>1201</v>
      </c>
      <c r="T69" s="354" t="s">
        <v>440</v>
      </c>
      <c r="U69" s="354">
        <v>500</v>
      </c>
      <c r="V69" s="355" t="s">
        <v>1239</v>
      </c>
      <c r="W69" s="354"/>
      <c r="X69" s="23" t="str">
        <f t="shared" si="0"/>
        <v>NOKIA 5.3</v>
      </c>
      <c r="Y69" s="6" t="str">
        <f t="shared" si="2"/>
        <v>nokia 5.3</v>
      </c>
      <c r="Z69" s="6" t="str">
        <f t="shared" si="3"/>
        <v>Nokia 5.3</v>
      </c>
      <c r="AA69" s="24" t="str">
        <f t="shared" si="1"/>
        <v>Low Discount</v>
      </c>
    </row>
    <row r="70" spans="2:45">
      <c r="B70" s="353" t="s">
        <v>1400</v>
      </c>
      <c r="C70" s="354" t="s">
        <v>1321</v>
      </c>
      <c r="D70" s="354" t="s">
        <v>1166</v>
      </c>
      <c r="E70" s="354">
        <v>1200</v>
      </c>
      <c r="F70" s="354">
        <v>30</v>
      </c>
      <c r="G70" s="354" t="s">
        <v>1322</v>
      </c>
      <c r="H70" s="354" t="s">
        <v>1323</v>
      </c>
      <c r="I70" s="354">
        <v>5</v>
      </c>
      <c r="J70" s="354" t="s">
        <v>505</v>
      </c>
      <c r="K70" s="354">
        <v>20</v>
      </c>
      <c r="L70" s="354" t="s">
        <v>1324</v>
      </c>
      <c r="M70" s="354">
        <v>24</v>
      </c>
      <c r="N70" s="354">
        <v>1</v>
      </c>
      <c r="O70" s="354">
        <v>33251</v>
      </c>
      <c r="P70" s="354" t="s">
        <v>1208</v>
      </c>
      <c r="Q70" s="354" t="s">
        <v>1215</v>
      </c>
      <c r="R70" s="354">
        <v>15</v>
      </c>
      <c r="S70" s="354" t="s">
        <v>1234</v>
      </c>
      <c r="T70" s="354" t="s">
        <v>1222</v>
      </c>
      <c r="U70" s="354">
        <v>1500</v>
      </c>
      <c r="V70" s="355" t="s">
        <v>1235</v>
      </c>
      <c r="W70" s="354"/>
      <c r="X70" s="23" t="str">
        <f t="shared" si="0"/>
        <v>APPLE IPHONE 11</v>
      </c>
      <c r="Y70" s="6" t="str">
        <f t="shared" si="2"/>
        <v>apple iphone 11</v>
      </c>
      <c r="Z70" s="6" t="str">
        <f t="shared" si="3"/>
        <v>Apple Iphone 11</v>
      </c>
      <c r="AA70" s="24" t="str">
        <f t="shared" si="1"/>
        <v>High Discount</v>
      </c>
    </row>
    <row r="71" spans="2:45">
      <c r="B71" s="353" t="s">
        <v>1401</v>
      </c>
      <c r="C71" s="354" t="s">
        <v>1290</v>
      </c>
      <c r="D71" s="354" t="s">
        <v>1166</v>
      </c>
      <c r="E71" s="354">
        <v>1000</v>
      </c>
      <c r="F71" s="354">
        <v>35</v>
      </c>
      <c r="G71" s="354">
        <v>45049</v>
      </c>
      <c r="H71" s="354" t="s">
        <v>1291</v>
      </c>
      <c r="I71" s="354">
        <v>5</v>
      </c>
      <c r="J71" s="354" t="s">
        <v>495</v>
      </c>
      <c r="K71" s="354">
        <v>5</v>
      </c>
      <c r="L71" s="354" t="s">
        <v>1292</v>
      </c>
      <c r="M71" s="354">
        <v>24</v>
      </c>
      <c r="N71" s="354">
        <v>1</v>
      </c>
      <c r="O71" s="354">
        <v>32854</v>
      </c>
      <c r="P71" s="354" t="s">
        <v>1208</v>
      </c>
      <c r="Q71" s="354" t="s">
        <v>1215</v>
      </c>
      <c r="R71" s="354">
        <v>20</v>
      </c>
      <c r="S71" s="354" t="s">
        <v>1210</v>
      </c>
      <c r="T71" s="354" t="s">
        <v>1202</v>
      </c>
      <c r="U71" s="354">
        <v>1100</v>
      </c>
      <c r="V71" s="355" t="s">
        <v>1274</v>
      </c>
      <c r="W71" s="354"/>
      <c r="X71" s="23" t="str">
        <f t="shared" si="0"/>
        <v>SAMSUNG GALAXY NOTE 20</v>
      </c>
      <c r="Y71" s="6" t="str">
        <f t="shared" si="2"/>
        <v>samsung galaxy note 20</v>
      </c>
      <c r="Z71" s="6" t="str">
        <f t="shared" si="3"/>
        <v>Samsung Galaxy Note 20</v>
      </c>
      <c r="AA71" s="24" t="str">
        <f t="shared" si="1"/>
        <v>Low Discount</v>
      </c>
    </row>
    <row r="72" spans="2:45">
      <c r="B72" s="356" t="s">
        <v>1401</v>
      </c>
      <c r="C72" s="357" t="s">
        <v>1290</v>
      </c>
      <c r="D72" s="357" t="s">
        <v>1166</v>
      </c>
      <c r="E72" s="357">
        <v>1000</v>
      </c>
      <c r="F72" s="357">
        <v>35</v>
      </c>
      <c r="G72" s="357">
        <v>45049</v>
      </c>
      <c r="H72" s="357" t="s">
        <v>1291</v>
      </c>
      <c r="I72" s="357">
        <v>5</v>
      </c>
      <c r="J72" s="357" t="s">
        <v>495</v>
      </c>
      <c r="K72" s="357">
        <v>5</v>
      </c>
      <c r="L72" s="357" t="s">
        <v>1292</v>
      </c>
      <c r="M72" s="357">
        <v>24</v>
      </c>
      <c r="N72" s="357">
        <v>1</v>
      </c>
      <c r="O72" s="357">
        <v>32854</v>
      </c>
      <c r="P72" s="357" t="s">
        <v>1208</v>
      </c>
      <c r="Q72" s="357" t="s">
        <v>1215</v>
      </c>
      <c r="R72" s="357">
        <v>20</v>
      </c>
      <c r="S72" s="357" t="s">
        <v>1210</v>
      </c>
      <c r="T72" s="357" t="s">
        <v>1202</v>
      </c>
      <c r="U72" s="357">
        <v>1100</v>
      </c>
      <c r="V72" s="358" t="s">
        <v>1274</v>
      </c>
      <c r="W72" s="354"/>
      <c r="X72" s="25" t="str">
        <f t="shared" si="0"/>
        <v>SAMSUNG GALAXY NOTE 20</v>
      </c>
      <c r="Y72" s="126" t="str">
        <f t="shared" si="2"/>
        <v>samsung galaxy note 20</v>
      </c>
      <c r="Z72" s="126" t="str">
        <f t="shared" si="3"/>
        <v>Samsung Galaxy Note 20</v>
      </c>
      <c r="AA72" s="26" t="str">
        <f t="shared" si="1"/>
        <v>Low Discount</v>
      </c>
    </row>
    <row r="73" spans="2:45">
      <c r="I73" s="149"/>
      <c r="J73" s="149"/>
    </row>
    <row r="74" spans="2:45">
      <c r="I74" s="149"/>
      <c r="J74" s="149"/>
    </row>
    <row r="75" spans="2:45" ht="26.25">
      <c r="B75" s="371" t="s">
        <v>1095</v>
      </c>
      <c r="J75" s="149"/>
      <c r="AK75" s="505"/>
      <c r="AL75" s="505"/>
      <c r="AM75" s="505"/>
      <c r="AN75" s="505"/>
      <c r="AO75" s="505"/>
      <c r="AP75" s="505"/>
      <c r="AQ75" s="505"/>
      <c r="AR75" s="505"/>
      <c r="AS75" s="505"/>
    </row>
    <row r="76" spans="2:45">
      <c r="J76" s="149"/>
    </row>
    <row r="77" spans="2:45" ht="26.25">
      <c r="B77" s="661" t="s">
        <v>1750</v>
      </c>
      <c r="C77" s="661"/>
      <c r="D77" s="661"/>
      <c r="E77" s="661"/>
      <c r="F77" s="661"/>
      <c r="G77" s="661"/>
      <c r="H77" s="661"/>
      <c r="I77" s="661"/>
      <c r="J77" s="661"/>
      <c r="K77" s="661"/>
    </row>
    <row r="78" spans="2:45" ht="26.25">
      <c r="B78" s="661" t="s">
        <v>1751</v>
      </c>
      <c r="C78" s="661"/>
      <c r="D78" s="661"/>
      <c r="E78" s="661"/>
      <c r="F78" s="661"/>
      <c r="G78" s="661"/>
      <c r="H78" s="661"/>
      <c r="I78" s="661"/>
      <c r="J78" s="661"/>
      <c r="K78" s="661"/>
    </row>
    <row r="79" spans="2:45">
      <c r="B79" s="60"/>
    </row>
    <row r="80" spans="2:45">
      <c r="B80" s="60"/>
    </row>
    <row r="81" spans="2:11" ht="18">
      <c r="B81" s="643" t="s">
        <v>1736</v>
      </c>
      <c r="C81" s="644"/>
      <c r="D81" s="644"/>
      <c r="E81" s="645"/>
      <c r="G81" s="635" t="s">
        <v>1753</v>
      </c>
      <c r="H81" s="636"/>
      <c r="I81" s="636"/>
      <c r="J81" s="636"/>
      <c r="K81" s="637"/>
    </row>
    <row r="82" spans="2:11" ht="18">
      <c r="B82" s="652"/>
      <c r="C82" s="653"/>
      <c r="D82" s="653"/>
      <c r="E82" s="654"/>
      <c r="G82" s="23" t="s">
        <v>1764</v>
      </c>
      <c r="H82" s="6"/>
      <c r="I82" s="593"/>
      <c r="J82" s="593"/>
      <c r="K82" s="594"/>
    </row>
    <row r="83" spans="2:11" ht="18">
      <c r="B83" s="652" t="s">
        <v>1713</v>
      </c>
      <c r="C83" s="653"/>
      <c r="D83" s="653"/>
      <c r="E83" s="654"/>
      <c r="G83" s="23"/>
      <c r="H83" s="6" t="s">
        <v>1760</v>
      </c>
      <c r="I83" s="593" t="s">
        <v>1784</v>
      </c>
      <c r="J83" s="593"/>
      <c r="K83" s="594"/>
    </row>
    <row r="84" spans="2:11" ht="18">
      <c r="B84" s="652" t="s">
        <v>1714</v>
      </c>
      <c r="C84" s="653"/>
      <c r="D84" s="653"/>
      <c r="E84" s="654"/>
      <c r="G84" s="23"/>
      <c r="H84" s="6" t="s">
        <v>1761</v>
      </c>
      <c r="I84" s="593" t="s">
        <v>1767</v>
      </c>
      <c r="J84" s="593"/>
      <c r="K84" s="594"/>
    </row>
    <row r="85" spans="2:11" ht="18">
      <c r="B85" s="652" t="s">
        <v>1715</v>
      </c>
      <c r="C85" s="653"/>
      <c r="D85" s="653"/>
      <c r="E85" s="654"/>
      <c r="G85" s="23"/>
      <c r="H85" s="6" t="s">
        <v>1762</v>
      </c>
      <c r="I85" s="593" t="s">
        <v>1752</v>
      </c>
      <c r="J85" s="593"/>
      <c r="K85" s="594"/>
    </row>
    <row r="86" spans="2:11" ht="18">
      <c r="B86" s="652"/>
      <c r="C86" s="653"/>
      <c r="D86" s="653"/>
      <c r="E86" s="654"/>
      <c r="G86" s="23" t="s">
        <v>1765</v>
      </c>
      <c r="H86" s="6"/>
      <c r="I86" s="593"/>
      <c r="J86" s="593"/>
      <c r="K86" s="594"/>
    </row>
    <row r="87" spans="2:11" ht="18">
      <c r="B87" s="652" t="s">
        <v>1737</v>
      </c>
      <c r="C87" s="653"/>
      <c r="D87" s="653"/>
      <c r="E87" s="654"/>
      <c r="G87" s="23"/>
      <c r="H87" s="388" t="s">
        <v>1754</v>
      </c>
      <c r="I87" s="593">
        <f>SUMIF('FUNCTIONS PRACTICE'!$O$149:$O$210,"paid",'FUNCTIONS PRACTICE'!$K$149:$K$210)</f>
        <v>23010</v>
      </c>
      <c r="J87" s="593"/>
      <c r="K87" s="594"/>
    </row>
    <row r="88" spans="2:11" ht="18">
      <c r="B88" s="652"/>
      <c r="C88" s="653"/>
      <c r="D88" s="653"/>
      <c r="E88" s="654"/>
      <c r="G88" s="23"/>
      <c r="H88" s="6" t="s">
        <v>1755</v>
      </c>
      <c r="I88" s="593">
        <f ca="1">ROUNDUP(AVERAGE('FUNCTIONS PRACTICE'!$D$149:$D$210),1)</f>
        <v>41.5</v>
      </c>
      <c r="J88" s="593"/>
      <c r="K88" s="594"/>
    </row>
    <row r="89" spans="2:11" ht="18">
      <c r="B89" s="652" t="s">
        <v>1716</v>
      </c>
      <c r="C89" s="653"/>
      <c r="D89" s="653"/>
      <c r="E89" s="654"/>
      <c r="G89" s="23"/>
      <c r="H89" s="6" t="s">
        <v>1756</v>
      </c>
      <c r="I89" s="593"/>
      <c r="J89" s="593"/>
      <c r="K89" s="594"/>
    </row>
    <row r="90" spans="2:11" ht="18">
      <c r="B90" s="652" t="s">
        <v>1717</v>
      </c>
      <c r="C90" s="653"/>
      <c r="D90" s="653"/>
      <c r="E90" s="654"/>
      <c r="G90" s="23" t="s">
        <v>1768</v>
      </c>
      <c r="H90" s="6"/>
      <c r="I90" s="593"/>
      <c r="J90" s="593"/>
      <c r="K90" s="594"/>
    </row>
    <row r="91" spans="2:11" ht="18">
      <c r="B91" s="652" t="s">
        <v>1718</v>
      </c>
      <c r="C91" s="653"/>
      <c r="D91" s="653"/>
      <c r="E91" s="654"/>
      <c r="G91" s="23"/>
      <c r="H91" s="6" t="s">
        <v>1757</v>
      </c>
      <c r="I91" s="593"/>
      <c r="J91" s="593"/>
      <c r="K91" s="594"/>
    </row>
    <row r="92" spans="2:11" ht="18">
      <c r="B92" s="652"/>
      <c r="C92" s="653"/>
      <c r="D92" s="653"/>
      <c r="E92" s="654"/>
      <c r="G92" s="23"/>
      <c r="H92" s="6" t="s">
        <v>1758</v>
      </c>
      <c r="I92" s="593" t="s">
        <v>1779</v>
      </c>
      <c r="J92" s="593"/>
      <c r="K92" s="594"/>
    </row>
    <row r="93" spans="2:11" ht="18">
      <c r="B93" s="652" t="s">
        <v>1738</v>
      </c>
      <c r="C93" s="653"/>
      <c r="D93" s="653"/>
      <c r="E93" s="654"/>
      <c r="G93" s="23"/>
      <c r="H93" s="6" t="s">
        <v>1759</v>
      </c>
      <c r="I93" s="639" t="s">
        <v>1783</v>
      </c>
      <c r="J93" s="640"/>
      <c r="K93" s="641"/>
    </row>
    <row r="94" spans="2:11" ht="18">
      <c r="B94" s="652"/>
      <c r="C94" s="653"/>
      <c r="D94" s="653"/>
      <c r="E94" s="654"/>
      <c r="G94" s="23"/>
      <c r="H94" s="6"/>
      <c r="I94" s="376" t="s">
        <v>1780</v>
      </c>
      <c r="J94" s="379" t="s">
        <v>1781</v>
      </c>
      <c r="K94" s="377" t="s">
        <v>1782</v>
      </c>
    </row>
    <row r="95" spans="2:11" ht="18">
      <c r="B95" s="652" t="s">
        <v>1719</v>
      </c>
      <c r="C95" s="653"/>
      <c r="D95" s="653"/>
      <c r="E95" s="654"/>
      <c r="G95" s="23"/>
      <c r="H95" s="6"/>
      <c r="I95" s="78" t="s">
        <v>1449</v>
      </c>
      <c r="J95" s="69">
        <f>COUNTIF(V149:V210,"approved")</f>
        <v>31</v>
      </c>
      <c r="K95" s="24">
        <f>J95/62*100</f>
        <v>50</v>
      </c>
    </row>
    <row r="96" spans="2:11" ht="18">
      <c r="B96" s="652" t="s">
        <v>1720</v>
      </c>
      <c r="C96" s="653"/>
      <c r="D96" s="653"/>
      <c r="E96" s="654"/>
      <c r="G96" s="23"/>
      <c r="H96" s="6"/>
      <c r="I96" s="78" t="s">
        <v>966</v>
      </c>
      <c r="J96" s="69">
        <f>COUNTIF(V150:V211,"pending")</f>
        <v>21</v>
      </c>
      <c r="K96" s="24">
        <f>ROUNDUP(J96/62*100,2)</f>
        <v>33.879999999999995</v>
      </c>
    </row>
    <row r="97" spans="2:11" ht="18">
      <c r="B97" s="652" t="s">
        <v>1721</v>
      </c>
      <c r="C97" s="653"/>
      <c r="D97" s="653"/>
      <c r="E97" s="654"/>
      <c r="G97" s="23"/>
      <c r="H97" s="6"/>
      <c r="I97" s="80" t="s">
        <v>1471</v>
      </c>
      <c r="J97" s="70">
        <f>COUNTIF(V151:V212,"denied")</f>
        <v>10</v>
      </c>
      <c r="K97" s="26">
        <f>ROUNDUP(J97/62*100,2)</f>
        <v>16.130000000000003</v>
      </c>
    </row>
    <row r="98" spans="2:11" ht="18">
      <c r="B98" s="652"/>
      <c r="C98" s="653"/>
      <c r="D98" s="653"/>
      <c r="E98" s="654"/>
      <c r="G98" s="23" t="s">
        <v>1802</v>
      </c>
      <c r="H98" s="6"/>
      <c r="I98" s="593"/>
      <c r="J98" s="593"/>
      <c r="K98" s="594"/>
    </row>
    <row r="99" spans="2:11" ht="18">
      <c r="B99" s="652"/>
      <c r="C99" s="653"/>
      <c r="D99" s="653"/>
      <c r="E99" s="654"/>
      <c r="G99" s="23"/>
      <c r="H99" s="6" t="s">
        <v>1770</v>
      </c>
      <c r="I99" s="593" t="s">
        <v>1785</v>
      </c>
      <c r="J99" s="593"/>
      <c r="K99" s="594"/>
    </row>
    <row r="100" spans="2:11" ht="18">
      <c r="B100" s="652" t="s">
        <v>1739</v>
      </c>
      <c r="C100" s="653"/>
      <c r="D100" s="653"/>
      <c r="E100" s="654"/>
      <c r="G100" s="23"/>
      <c r="H100" s="6" t="s">
        <v>1771</v>
      </c>
      <c r="I100" s="593" t="s">
        <v>1787</v>
      </c>
      <c r="J100" s="593"/>
      <c r="K100" s="594"/>
    </row>
    <row r="101" spans="2:11" ht="18">
      <c r="B101" s="652"/>
      <c r="C101" s="653"/>
      <c r="D101" s="653"/>
      <c r="E101" s="654"/>
      <c r="G101" s="23"/>
      <c r="H101" s="6" t="s">
        <v>1772</v>
      </c>
      <c r="I101" s="593"/>
      <c r="J101" s="593"/>
      <c r="K101" s="594"/>
    </row>
    <row r="102" spans="2:11" ht="18">
      <c r="B102" s="652" t="s">
        <v>1722</v>
      </c>
      <c r="C102" s="653"/>
      <c r="D102" s="653"/>
      <c r="E102" s="654"/>
      <c r="G102" s="23" t="s">
        <v>1788</v>
      </c>
      <c r="H102" s="6"/>
      <c r="I102" s="593"/>
      <c r="J102" s="593"/>
      <c r="K102" s="594"/>
    </row>
    <row r="103" spans="2:11" ht="18">
      <c r="B103" s="652" t="s">
        <v>1723</v>
      </c>
      <c r="C103" s="653"/>
      <c r="D103" s="653"/>
      <c r="E103" s="654"/>
      <c r="G103" s="23"/>
      <c r="H103" s="6" t="s">
        <v>1773</v>
      </c>
      <c r="I103" s="593"/>
      <c r="J103" s="593"/>
      <c r="K103" s="594"/>
    </row>
    <row r="104" spans="2:11" ht="18">
      <c r="B104" s="652" t="s">
        <v>1724</v>
      </c>
      <c r="C104" s="653"/>
      <c r="D104" s="653"/>
      <c r="E104" s="654"/>
      <c r="G104" s="23"/>
      <c r="H104" s="6" t="s">
        <v>1774</v>
      </c>
      <c r="I104" s="593"/>
      <c r="J104" s="593"/>
      <c r="K104" s="594"/>
    </row>
    <row r="105" spans="2:11" ht="18">
      <c r="B105" s="652"/>
      <c r="C105" s="653"/>
      <c r="D105" s="653"/>
      <c r="E105" s="654"/>
      <c r="G105" s="23"/>
      <c r="H105" s="6" t="s">
        <v>1778</v>
      </c>
      <c r="I105" s="593"/>
      <c r="J105" s="593"/>
      <c r="K105" s="594"/>
    </row>
    <row r="106" spans="2:11" ht="18">
      <c r="B106" s="652" t="s">
        <v>1740</v>
      </c>
      <c r="C106" s="653"/>
      <c r="D106" s="653"/>
      <c r="E106" s="654"/>
      <c r="G106" s="23"/>
      <c r="H106" s="6" t="s">
        <v>1777</v>
      </c>
      <c r="I106" s="593"/>
      <c r="J106" s="593"/>
      <c r="K106" s="594"/>
    </row>
    <row r="107" spans="2:11" ht="18">
      <c r="B107" s="652"/>
      <c r="C107" s="653"/>
      <c r="D107" s="653"/>
      <c r="E107" s="654"/>
      <c r="G107" s="23"/>
      <c r="H107" s="6" t="s">
        <v>1776</v>
      </c>
      <c r="I107" s="593"/>
      <c r="J107" s="593"/>
      <c r="K107" s="594"/>
    </row>
    <row r="108" spans="2:11" ht="18">
      <c r="B108" s="652" t="s">
        <v>1725</v>
      </c>
      <c r="C108" s="653"/>
      <c r="D108" s="653"/>
      <c r="E108" s="654"/>
      <c r="G108" s="23"/>
      <c r="H108" s="6" t="s">
        <v>1775</v>
      </c>
      <c r="I108" s="593"/>
      <c r="J108" s="593"/>
      <c r="K108" s="594"/>
    </row>
    <row r="109" spans="2:11" ht="18">
      <c r="B109" s="652" t="s">
        <v>1726</v>
      </c>
      <c r="C109" s="653"/>
      <c r="D109" s="653"/>
      <c r="E109" s="654"/>
      <c r="G109" s="23"/>
      <c r="H109" s="6"/>
      <c r="I109" s="6"/>
      <c r="J109" s="6"/>
      <c r="K109" s="24"/>
    </row>
    <row r="110" spans="2:11" ht="18">
      <c r="B110" s="652" t="s">
        <v>1727</v>
      </c>
      <c r="C110" s="653"/>
      <c r="D110" s="653"/>
      <c r="E110" s="654"/>
      <c r="G110" s="23" t="s">
        <v>1789</v>
      </c>
      <c r="H110" s="6" t="s">
        <v>1790</v>
      </c>
      <c r="I110" s="639" t="s">
        <v>1794</v>
      </c>
      <c r="J110" s="640"/>
      <c r="K110" s="641"/>
    </row>
    <row r="111" spans="2:11" ht="18">
      <c r="B111" s="652"/>
      <c r="C111" s="653"/>
      <c r="D111" s="653"/>
      <c r="E111" s="654"/>
      <c r="G111" s="23"/>
      <c r="H111" s="6"/>
      <c r="I111" s="376" t="s">
        <v>1792</v>
      </c>
      <c r="J111" s="379" t="s">
        <v>1793</v>
      </c>
      <c r="K111" s="377" t="s">
        <v>1791</v>
      </c>
    </row>
    <row r="112" spans="2:11" ht="18">
      <c r="B112" s="652" t="s">
        <v>1741</v>
      </c>
      <c r="C112" s="653"/>
      <c r="D112" s="653"/>
      <c r="E112" s="654"/>
      <c r="G112" s="23"/>
      <c r="H112" s="6"/>
      <c r="I112" s="385">
        <v>43890</v>
      </c>
      <c r="J112" s="380">
        <v>0.1</v>
      </c>
      <c r="K112" s="386">
        <f>I112+(J112*I112)</f>
        <v>48279</v>
      </c>
    </row>
    <row r="113" spans="2:11" ht="18">
      <c r="B113" s="652"/>
      <c r="C113" s="653"/>
      <c r="D113" s="653"/>
      <c r="E113" s="654"/>
      <c r="G113" s="23"/>
      <c r="H113" s="6"/>
      <c r="I113" s="69"/>
      <c r="J113" s="378"/>
      <c r="K113" s="24"/>
    </row>
    <row r="114" spans="2:11" ht="18">
      <c r="B114" s="652" t="s">
        <v>1728</v>
      </c>
      <c r="C114" s="653"/>
      <c r="D114" s="653"/>
      <c r="E114" s="654"/>
      <c r="G114" s="23"/>
      <c r="H114" s="6" t="s">
        <v>1795</v>
      </c>
      <c r="I114" s="639" t="s">
        <v>1794</v>
      </c>
      <c r="J114" s="640"/>
      <c r="K114" s="641"/>
    </row>
    <row r="115" spans="2:11" ht="18">
      <c r="B115" s="652" t="s">
        <v>1729</v>
      </c>
      <c r="C115" s="653"/>
      <c r="D115" s="653"/>
      <c r="E115" s="654"/>
      <c r="G115" s="23"/>
      <c r="H115" s="6"/>
      <c r="I115" s="376" t="s">
        <v>1796</v>
      </c>
      <c r="J115" s="376" t="s">
        <v>1798</v>
      </c>
      <c r="K115" s="377" t="s">
        <v>1797</v>
      </c>
    </row>
    <row r="116" spans="2:11" ht="18">
      <c r="B116" s="652" t="s">
        <v>1730</v>
      </c>
      <c r="C116" s="653"/>
      <c r="D116" s="653"/>
      <c r="E116" s="654"/>
      <c r="G116" s="23"/>
      <c r="H116" s="6"/>
      <c r="I116" s="381">
        <f>SUMIF($O$149:$O$211,"paid",$K$149:$K$211)</f>
        <v>23010</v>
      </c>
      <c r="J116" s="382">
        <f>SUMIF($O$149:$O$211,"unpaid",$K$149:$K$211)</f>
        <v>20880</v>
      </c>
      <c r="K116" s="383">
        <f>I116+J116</f>
        <v>43890</v>
      </c>
    </row>
    <row r="117" spans="2:11" ht="18">
      <c r="B117" s="652"/>
      <c r="C117" s="653"/>
      <c r="D117" s="653"/>
      <c r="E117" s="654"/>
      <c r="G117" s="23"/>
      <c r="H117" s="6"/>
      <c r="I117" s="663" t="s">
        <v>1799</v>
      </c>
      <c r="J117" s="664"/>
      <c r="K117" s="665"/>
    </row>
    <row r="118" spans="2:11" ht="18">
      <c r="B118" s="655" t="s">
        <v>1742</v>
      </c>
      <c r="C118" s="656"/>
      <c r="D118" s="656"/>
      <c r="E118" s="657"/>
      <c r="G118" s="23"/>
      <c r="H118" s="6"/>
      <c r="I118" s="381">
        <f>SUMIF($O$149:$O$211,"paid",$K$149:$K$211)</f>
        <v>23010</v>
      </c>
      <c r="J118" s="382">
        <f>SUMIF($O$149:$O$211,"unpaid",$K$149:$K$211)-(15%*J116)</f>
        <v>17748</v>
      </c>
      <c r="K118" s="383">
        <f>I118+J118</f>
        <v>40758</v>
      </c>
    </row>
    <row r="119" spans="2:11" ht="18">
      <c r="B119" s="652"/>
      <c r="C119" s="653"/>
      <c r="D119" s="653"/>
      <c r="E119" s="654"/>
      <c r="G119" s="23"/>
      <c r="H119" s="6"/>
      <c r="I119" s="663" t="s">
        <v>1800</v>
      </c>
      <c r="J119" s="664"/>
      <c r="K119" s="665"/>
    </row>
    <row r="120" spans="2:11" ht="18">
      <c r="B120" s="652" t="s">
        <v>1743</v>
      </c>
      <c r="C120" s="653"/>
      <c r="D120" s="653"/>
      <c r="E120" s="654"/>
      <c r="G120" s="23"/>
      <c r="H120" s="6"/>
      <c r="I120" s="381">
        <v>43890</v>
      </c>
      <c r="J120" s="384">
        <v>40758</v>
      </c>
      <c r="K120" s="383" t="s">
        <v>1801</v>
      </c>
    </row>
    <row r="121" spans="2:11" ht="18">
      <c r="B121" s="652"/>
      <c r="C121" s="653"/>
      <c r="D121" s="653"/>
      <c r="E121" s="654"/>
      <c r="G121" s="23"/>
      <c r="H121" s="6"/>
      <c r="I121" s="389"/>
      <c r="J121" s="390"/>
      <c r="K121" s="391"/>
    </row>
    <row r="122" spans="2:11" ht="18">
      <c r="B122" s="652" t="s">
        <v>1731</v>
      </c>
      <c r="C122" s="653"/>
      <c r="D122" s="653"/>
      <c r="E122" s="654"/>
      <c r="G122" s="25"/>
      <c r="H122" s="126"/>
      <c r="I122" s="126"/>
      <c r="J122" s="126"/>
      <c r="K122" s="26"/>
    </row>
    <row r="123" spans="2:11" ht="18">
      <c r="B123" s="652"/>
      <c r="C123" s="653"/>
      <c r="D123" s="653"/>
      <c r="E123" s="654"/>
    </row>
    <row r="124" spans="2:11" ht="18">
      <c r="B124" s="652" t="s">
        <v>1744</v>
      </c>
      <c r="C124" s="653"/>
      <c r="D124" s="653"/>
      <c r="E124" s="654"/>
    </row>
    <row r="125" spans="2:11" ht="18">
      <c r="B125" s="652"/>
      <c r="C125" s="653"/>
      <c r="D125" s="653"/>
      <c r="E125" s="654"/>
    </row>
    <row r="126" spans="2:11" ht="18">
      <c r="B126" s="652" t="s">
        <v>1732</v>
      </c>
      <c r="C126" s="653"/>
      <c r="D126" s="653"/>
      <c r="E126" s="654"/>
    </row>
    <row r="127" spans="2:11" ht="18">
      <c r="B127" s="652"/>
      <c r="C127" s="653"/>
      <c r="D127" s="653"/>
      <c r="E127" s="654"/>
    </row>
    <row r="128" spans="2:11" ht="18">
      <c r="B128" s="652" t="s">
        <v>1745</v>
      </c>
      <c r="C128" s="653"/>
      <c r="D128" s="653"/>
      <c r="E128" s="654"/>
    </row>
    <row r="129" spans="2:5" ht="18">
      <c r="B129" s="652"/>
      <c r="C129" s="653"/>
      <c r="D129" s="653"/>
      <c r="E129" s="654"/>
    </row>
    <row r="130" spans="2:5" ht="18">
      <c r="B130" s="652" t="s">
        <v>1733</v>
      </c>
      <c r="C130" s="653"/>
      <c r="D130" s="653"/>
      <c r="E130" s="654"/>
    </row>
    <row r="131" spans="2:5" ht="18">
      <c r="B131" s="652"/>
      <c r="C131" s="653"/>
      <c r="D131" s="653"/>
      <c r="E131" s="654"/>
    </row>
    <row r="132" spans="2:5" ht="18">
      <c r="B132" s="652" t="s">
        <v>1746</v>
      </c>
      <c r="C132" s="653"/>
      <c r="D132" s="653"/>
      <c r="E132" s="654"/>
    </row>
    <row r="133" spans="2:5" ht="18">
      <c r="B133" s="652"/>
      <c r="C133" s="653"/>
      <c r="D133" s="653"/>
      <c r="E133" s="654"/>
    </row>
    <row r="134" spans="2:5" ht="18">
      <c r="B134" s="652" t="s">
        <v>1747</v>
      </c>
      <c r="C134" s="653"/>
      <c r="D134" s="653"/>
      <c r="E134" s="654"/>
    </row>
    <row r="135" spans="2:5" ht="18">
      <c r="B135" s="652"/>
      <c r="C135" s="653"/>
      <c r="D135" s="653"/>
      <c r="E135" s="654"/>
    </row>
    <row r="136" spans="2:5" ht="18">
      <c r="B136" s="652" t="s">
        <v>1734</v>
      </c>
      <c r="C136" s="653"/>
      <c r="D136" s="653"/>
      <c r="E136" s="654"/>
    </row>
    <row r="137" spans="2:5" ht="18">
      <c r="B137" s="652"/>
      <c r="C137" s="653"/>
      <c r="D137" s="653"/>
      <c r="E137" s="654"/>
    </row>
    <row r="138" spans="2:5" ht="18">
      <c r="B138" s="652"/>
      <c r="C138" s="653"/>
      <c r="D138" s="653"/>
      <c r="E138" s="654"/>
    </row>
    <row r="139" spans="2:5" ht="18">
      <c r="B139" s="652" t="s">
        <v>1748</v>
      </c>
      <c r="C139" s="653"/>
      <c r="D139" s="653"/>
      <c r="E139" s="654"/>
    </row>
    <row r="140" spans="2:5" ht="18">
      <c r="B140" s="652"/>
      <c r="C140" s="653"/>
      <c r="D140" s="653"/>
      <c r="E140" s="654"/>
    </row>
    <row r="141" spans="2:5" ht="18">
      <c r="B141" s="652" t="s">
        <v>1735</v>
      </c>
      <c r="C141" s="653"/>
      <c r="D141" s="653"/>
      <c r="E141" s="654"/>
    </row>
    <row r="142" spans="2:5" ht="18">
      <c r="B142" s="658" t="s">
        <v>1749</v>
      </c>
      <c r="C142" s="659"/>
      <c r="D142" s="659"/>
      <c r="E142" s="660"/>
    </row>
    <row r="143" spans="2:5">
      <c r="B143" s="60"/>
    </row>
    <row r="145" spans="2:27" ht="28.5">
      <c r="B145" s="662" t="s">
        <v>1419</v>
      </c>
      <c r="C145" s="662"/>
      <c r="D145" s="662"/>
    </row>
    <row r="146" spans="2:27">
      <c r="Z146" s="638" t="s">
        <v>1786</v>
      </c>
      <c r="AA146" s="638"/>
    </row>
    <row r="148" spans="2:27" ht="18.75">
      <c r="B148" s="372" t="s">
        <v>1420</v>
      </c>
      <c r="C148" s="373" t="s">
        <v>1421</v>
      </c>
      <c r="D148" s="373" t="s">
        <v>768</v>
      </c>
      <c r="E148" s="373" t="s">
        <v>1422</v>
      </c>
      <c r="F148" s="373" t="s">
        <v>1423</v>
      </c>
      <c r="G148" s="373" t="s">
        <v>1424</v>
      </c>
      <c r="H148" s="373" t="s">
        <v>1425</v>
      </c>
      <c r="I148" s="373" t="s">
        <v>1426</v>
      </c>
      <c r="J148" s="373" t="s">
        <v>1427</v>
      </c>
      <c r="K148" s="373" t="s">
        <v>1428</v>
      </c>
      <c r="L148" s="373" t="s">
        <v>1429</v>
      </c>
      <c r="M148" s="373" t="s">
        <v>1430</v>
      </c>
      <c r="N148" s="373" t="s">
        <v>1431</v>
      </c>
      <c r="O148" s="373" t="s">
        <v>1432</v>
      </c>
      <c r="P148" s="373" t="s">
        <v>1433</v>
      </c>
      <c r="Q148" s="373" t="s">
        <v>1766</v>
      </c>
      <c r="R148" s="373" t="s">
        <v>1434</v>
      </c>
      <c r="S148" s="373" t="s">
        <v>1435</v>
      </c>
      <c r="T148" s="373" t="s">
        <v>1436</v>
      </c>
      <c r="U148" s="373" t="s">
        <v>1437</v>
      </c>
      <c r="V148" s="373" t="s">
        <v>1438</v>
      </c>
      <c r="W148" s="373" t="s">
        <v>1439</v>
      </c>
      <c r="X148" s="374" t="s">
        <v>1763</v>
      </c>
      <c r="Z148" s="145" t="s">
        <v>329</v>
      </c>
      <c r="AA148" t="s">
        <v>1769</v>
      </c>
    </row>
    <row r="149" spans="2:27">
      <c r="B149" s="248">
        <v>1</v>
      </c>
      <c r="C149" s="162" t="s">
        <v>1440</v>
      </c>
      <c r="D149" s="162">
        <f ca="1">ROUNDUP((TODAY()-'FUNCTIONS PRACTICE'!$E149)/365.5,0)</f>
        <v>45</v>
      </c>
      <c r="E149" s="249">
        <v>29292</v>
      </c>
      <c r="F149" s="162" t="s">
        <v>1008</v>
      </c>
      <c r="G149" s="162" t="s">
        <v>1441</v>
      </c>
      <c r="H149" s="162" t="s">
        <v>1442</v>
      </c>
      <c r="I149" s="249">
        <v>25693</v>
      </c>
      <c r="J149" s="162" t="s">
        <v>1443</v>
      </c>
      <c r="K149" s="402">
        <v>200</v>
      </c>
      <c r="L149" s="249">
        <v>44986</v>
      </c>
      <c r="M149" s="249">
        <v>45017</v>
      </c>
      <c r="N149" s="249">
        <v>45047</v>
      </c>
      <c r="O149" s="162" t="s">
        <v>1444</v>
      </c>
      <c r="P149" s="162">
        <v>101</v>
      </c>
      <c r="Q149" s="162" t="str">
        <f>TEXT(VALUE(SUBSTITUTE(R149, "-", "")), "(000) 000-0000")</f>
        <v>(123) 456-7890</v>
      </c>
      <c r="R149" s="162" t="s">
        <v>1445</v>
      </c>
      <c r="S149" s="162" t="s">
        <v>1446</v>
      </c>
      <c r="T149" s="162" t="s">
        <v>1447</v>
      </c>
      <c r="U149" s="162" t="s">
        <v>1448</v>
      </c>
      <c r="V149" s="162" t="s">
        <v>1449</v>
      </c>
      <c r="W149" s="162" t="s">
        <v>1450</v>
      </c>
      <c r="X149" s="251">
        <f ca="1">ROUNDUP(CORREL(D149:D211,K149:K211),2)</f>
        <v>-9.9999999999999992E-2</v>
      </c>
      <c r="Z149" s="1" t="s">
        <v>1559</v>
      </c>
      <c r="AA149">
        <v>2</v>
      </c>
    </row>
    <row r="150" spans="2:27">
      <c r="B150" s="248">
        <v>2</v>
      </c>
      <c r="C150" s="162" t="s">
        <v>1451</v>
      </c>
      <c r="D150" s="162">
        <f ca="1">ROUNDUP((TODAY()-'FUNCTIONS PRACTICE'!$E150)/365.5,0)</f>
        <v>35</v>
      </c>
      <c r="E150" s="249">
        <v>33038</v>
      </c>
      <c r="F150" s="162" t="s">
        <v>1452</v>
      </c>
      <c r="G150" s="162" t="s">
        <v>1453</v>
      </c>
      <c r="H150" s="162" t="s">
        <v>1454</v>
      </c>
      <c r="I150" s="249">
        <v>24088</v>
      </c>
      <c r="J150" s="162" t="s">
        <v>1455</v>
      </c>
      <c r="K150" s="402">
        <v>1500</v>
      </c>
      <c r="L150" s="249">
        <v>44987</v>
      </c>
      <c r="M150" s="249">
        <v>45018</v>
      </c>
      <c r="N150" s="249">
        <v>45201</v>
      </c>
      <c r="O150" s="162" t="s">
        <v>1456</v>
      </c>
      <c r="P150" s="162">
        <v>102</v>
      </c>
      <c r="Q150" s="162" t="str">
        <f t="shared" ref="Q150:Q211" si="4">TEXT(VALUE(SUBSTITUTE(R150, "-", "")), "(000) 000-0000")</f>
        <v>(234) 567-8901</v>
      </c>
      <c r="R150" s="375" t="s">
        <v>1457</v>
      </c>
      <c r="S150" s="162" t="s">
        <v>1458</v>
      </c>
      <c r="T150" s="162" t="s">
        <v>1459</v>
      </c>
      <c r="U150" s="162" t="s">
        <v>1460</v>
      </c>
      <c r="V150" s="162" t="s">
        <v>966</v>
      </c>
      <c r="W150" s="162" t="s">
        <v>1461</v>
      </c>
      <c r="X150" s="251">
        <f ca="1">ROUNDUP(CORREL(D150:D212,K150:K212),2)</f>
        <v>-9.9999999999999992E-2</v>
      </c>
      <c r="Z150" s="1" t="s">
        <v>1526</v>
      </c>
      <c r="AA150">
        <v>1</v>
      </c>
    </row>
    <row r="151" spans="2:27">
      <c r="B151" s="248">
        <v>3</v>
      </c>
      <c r="C151" s="162" t="s">
        <v>1462</v>
      </c>
      <c r="D151" s="162">
        <f ca="1">ROUNDUP((TODAY()-'FUNCTIONS PRACTICE'!$E151)/365.5,0)</f>
        <v>50</v>
      </c>
      <c r="E151" s="249">
        <v>27705</v>
      </c>
      <c r="F151" s="162" t="s">
        <v>1463</v>
      </c>
      <c r="G151" s="162" t="s">
        <v>1464</v>
      </c>
      <c r="H151" s="162" t="s">
        <v>1465</v>
      </c>
      <c r="I151" s="249">
        <v>25802</v>
      </c>
      <c r="J151" s="162" t="s">
        <v>1466</v>
      </c>
      <c r="K151" s="402">
        <v>3000</v>
      </c>
      <c r="L151" s="249">
        <v>44988</v>
      </c>
      <c r="M151" s="249">
        <v>45049</v>
      </c>
      <c r="N151" s="249">
        <v>45263</v>
      </c>
      <c r="O151" s="162" t="s">
        <v>1444</v>
      </c>
      <c r="P151" s="162">
        <v>103</v>
      </c>
      <c r="Q151" s="162" t="str">
        <f t="shared" si="4"/>
        <v>(345) 678-9012</v>
      </c>
      <c r="R151" s="375" t="s">
        <v>1467</v>
      </c>
      <c r="S151" s="162" t="s">
        <v>1468</v>
      </c>
      <c r="T151" s="162" t="s">
        <v>1469</v>
      </c>
      <c r="U151" s="162" t="s">
        <v>1470</v>
      </c>
      <c r="V151" s="162" t="s">
        <v>1471</v>
      </c>
      <c r="W151" s="162" t="s">
        <v>1472</v>
      </c>
      <c r="X151" s="251">
        <f t="shared" ref="X151:X210" ca="1" si="5">ROUNDUP(CORREL(D151:D213,K151:K213),2)</f>
        <v>-0.09</v>
      </c>
      <c r="Z151" s="1" t="s">
        <v>1603</v>
      </c>
      <c r="AA151">
        <v>2</v>
      </c>
    </row>
    <row r="152" spans="2:27">
      <c r="B152" s="248">
        <v>4</v>
      </c>
      <c r="C152" s="162" t="s">
        <v>1473</v>
      </c>
      <c r="D152" s="162">
        <f ca="1">ROUNDUP((TODAY()-'FUNCTIONS PRACTICE'!$E156)/365.5,0)</f>
        <v>46</v>
      </c>
      <c r="E152" s="249">
        <v>31406</v>
      </c>
      <c r="F152" s="162" t="s">
        <v>1474</v>
      </c>
      <c r="G152" s="162" t="s">
        <v>1475</v>
      </c>
      <c r="H152" s="162" t="s">
        <v>1476</v>
      </c>
      <c r="I152" s="249">
        <v>29536</v>
      </c>
      <c r="J152" s="162" t="s">
        <v>1477</v>
      </c>
      <c r="K152" s="402">
        <v>5000</v>
      </c>
      <c r="L152" s="249">
        <v>44989</v>
      </c>
      <c r="M152" s="249">
        <v>45081</v>
      </c>
      <c r="N152" s="249">
        <v>45355</v>
      </c>
      <c r="O152" s="162" t="s">
        <v>1444</v>
      </c>
      <c r="P152" s="162">
        <v>104</v>
      </c>
      <c r="Q152" s="162" t="str">
        <f t="shared" si="4"/>
        <v>(456) 789-0123</v>
      </c>
      <c r="R152" s="375" t="s">
        <v>1478</v>
      </c>
      <c r="S152" s="162" t="s">
        <v>1479</v>
      </c>
      <c r="T152" s="162" t="s">
        <v>1480</v>
      </c>
      <c r="U152" s="162" t="s">
        <v>1481</v>
      </c>
      <c r="V152" s="162" t="s">
        <v>1449</v>
      </c>
      <c r="W152" s="162" t="s">
        <v>1482</v>
      </c>
      <c r="X152" s="251">
        <f t="shared" ca="1" si="5"/>
        <v>-0.13</v>
      </c>
      <c r="Z152" s="1" t="s">
        <v>1516</v>
      </c>
      <c r="AA152">
        <v>7</v>
      </c>
    </row>
    <row r="153" spans="2:27">
      <c r="B153" s="248">
        <v>5</v>
      </c>
      <c r="C153" s="162" t="s">
        <v>1483</v>
      </c>
      <c r="D153" s="162">
        <f ca="1">ROUNDUP((TODAY()-'FUNCTIONS PRACTICE'!$E157)/365.5,0)</f>
        <v>25</v>
      </c>
      <c r="E153" s="249">
        <v>34790</v>
      </c>
      <c r="F153" s="162" t="s">
        <v>1484</v>
      </c>
      <c r="G153" s="162" t="s">
        <v>1485</v>
      </c>
      <c r="H153" s="162" t="s">
        <v>1486</v>
      </c>
      <c r="I153" s="249">
        <v>27456</v>
      </c>
      <c r="J153" s="162" t="s">
        <v>1487</v>
      </c>
      <c r="K153" s="402">
        <v>2000</v>
      </c>
      <c r="L153" s="249">
        <v>44990</v>
      </c>
      <c r="M153" s="249">
        <v>45112</v>
      </c>
      <c r="N153" s="249">
        <v>45327</v>
      </c>
      <c r="O153" s="162" t="s">
        <v>1456</v>
      </c>
      <c r="P153" s="162">
        <v>105</v>
      </c>
      <c r="Q153" s="162" t="str">
        <f t="shared" si="4"/>
        <v>(567) 890-1234</v>
      </c>
      <c r="R153" s="375" t="s">
        <v>1488</v>
      </c>
      <c r="S153" s="162" t="s">
        <v>1489</v>
      </c>
      <c r="T153" s="162" t="s">
        <v>1490</v>
      </c>
      <c r="U153" s="162" t="s">
        <v>1491</v>
      </c>
      <c r="V153" s="162" t="s">
        <v>966</v>
      </c>
      <c r="W153" s="162" t="s">
        <v>1492</v>
      </c>
      <c r="X153" s="251">
        <f t="shared" ca="1" si="5"/>
        <v>-0.26</v>
      </c>
      <c r="Z153" s="1" t="s">
        <v>1455</v>
      </c>
      <c r="AA153">
        <v>3</v>
      </c>
    </row>
    <row r="154" spans="2:27">
      <c r="B154" s="248">
        <v>6</v>
      </c>
      <c r="C154" s="162" t="s">
        <v>1493</v>
      </c>
      <c r="D154" s="162">
        <f ca="1">ROUNDUP((TODAY()-'FUNCTIONS PRACTICE'!$E180)/365.5,0)</f>
        <v>60</v>
      </c>
      <c r="E154" s="249">
        <v>24015</v>
      </c>
      <c r="F154" s="162" t="s">
        <v>1494</v>
      </c>
      <c r="G154" s="162" t="s">
        <v>1495</v>
      </c>
      <c r="H154" s="162" t="s">
        <v>1496</v>
      </c>
      <c r="I154" s="249">
        <v>22122</v>
      </c>
      <c r="J154" s="162" t="s">
        <v>1497</v>
      </c>
      <c r="K154" s="402">
        <v>1000</v>
      </c>
      <c r="L154" s="249">
        <v>44991</v>
      </c>
      <c r="M154" s="249">
        <v>45205</v>
      </c>
      <c r="N154" s="249">
        <v>45510</v>
      </c>
      <c r="O154" s="162" t="s">
        <v>1444</v>
      </c>
      <c r="P154" s="162">
        <v>106</v>
      </c>
      <c r="Q154" s="162" t="str">
        <f t="shared" si="4"/>
        <v>(678) 901-2345</v>
      </c>
      <c r="R154" s="375" t="s">
        <v>1498</v>
      </c>
      <c r="S154" s="162" t="s">
        <v>1499</v>
      </c>
      <c r="T154" s="162" t="s">
        <v>1500</v>
      </c>
      <c r="U154" s="162" t="s">
        <v>1501</v>
      </c>
      <c r="V154" s="162" t="s">
        <v>1449</v>
      </c>
      <c r="W154" s="162" t="s">
        <v>1450</v>
      </c>
      <c r="X154" s="251">
        <f t="shared" ca="1" si="5"/>
        <v>-0.21000000000000002</v>
      </c>
      <c r="Z154" s="1" t="s">
        <v>1613</v>
      </c>
      <c r="AA154">
        <v>2</v>
      </c>
    </row>
    <row r="155" spans="2:27">
      <c r="B155" s="248">
        <v>7</v>
      </c>
      <c r="C155" s="162" t="s">
        <v>1502</v>
      </c>
      <c r="D155" s="162">
        <f ca="1">ROUNDUP((TODAY()-'FUNCTIONS PRACTICE'!$E204)/365.5,0)</f>
        <v>50</v>
      </c>
      <c r="E155" s="249">
        <v>25914</v>
      </c>
      <c r="F155" s="162"/>
      <c r="G155" s="162" t="s">
        <v>1504</v>
      </c>
      <c r="H155" s="162" t="s">
        <v>1505</v>
      </c>
      <c r="I155" s="249">
        <v>20372</v>
      </c>
      <c r="J155" s="162" t="s">
        <v>1506</v>
      </c>
      <c r="K155" s="402">
        <v>800</v>
      </c>
      <c r="L155" s="249">
        <v>44992</v>
      </c>
      <c r="M155" s="249">
        <v>45329</v>
      </c>
      <c r="N155" s="249">
        <v>45542</v>
      </c>
      <c r="O155" s="162" t="s">
        <v>1456</v>
      </c>
      <c r="P155" s="162">
        <v>107</v>
      </c>
      <c r="Q155" s="162" t="str">
        <f t="shared" si="4"/>
        <v>(789) 012-3456</v>
      </c>
      <c r="R155" s="375" t="s">
        <v>1507</v>
      </c>
      <c r="S155" s="162" t="s">
        <v>1508</v>
      </c>
      <c r="T155" s="162" t="s">
        <v>1509</v>
      </c>
      <c r="U155" s="162" t="s">
        <v>1510</v>
      </c>
      <c r="V155" s="162" t="s">
        <v>1471</v>
      </c>
      <c r="W155" s="162" t="s">
        <v>1511</v>
      </c>
      <c r="X155" s="251">
        <f t="shared" ca="1" si="5"/>
        <v>-0.25</v>
      </c>
      <c r="Z155" s="1" t="s">
        <v>1566</v>
      </c>
      <c r="AA155">
        <v>2</v>
      </c>
    </row>
    <row r="156" spans="2:27">
      <c r="B156" s="248">
        <v>8</v>
      </c>
      <c r="C156" s="162" t="s">
        <v>1512</v>
      </c>
      <c r="D156" s="162">
        <f ca="1">ROUNDUP((TODAY()-'FUNCTIONS PRACTICE'!$E164)/365.5,0)</f>
        <v>40</v>
      </c>
      <c r="E156" s="249">
        <v>29273</v>
      </c>
      <c r="F156" s="162" t="s">
        <v>1513</v>
      </c>
      <c r="G156" s="162" t="s">
        <v>1514</v>
      </c>
      <c r="H156" s="162" t="s">
        <v>1515</v>
      </c>
      <c r="I156" s="249">
        <v>23820</v>
      </c>
      <c r="J156" s="162" t="s">
        <v>1516</v>
      </c>
      <c r="K156" s="402">
        <v>500</v>
      </c>
      <c r="L156" s="249">
        <v>44993</v>
      </c>
      <c r="M156" s="249">
        <v>45146</v>
      </c>
      <c r="N156" s="249">
        <v>45359</v>
      </c>
      <c r="O156" s="162" t="s">
        <v>1444</v>
      </c>
      <c r="P156" s="162">
        <v>108</v>
      </c>
      <c r="Q156" s="162" t="str">
        <f t="shared" si="4"/>
        <v>(890) 123-4567</v>
      </c>
      <c r="R156" s="375" t="s">
        <v>1517</v>
      </c>
      <c r="S156" s="162" t="s">
        <v>1518</v>
      </c>
      <c r="T156" s="162" t="s">
        <v>1519</v>
      </c>
      <c r="U156" s="162" t="s">
        <v>1520</v>
      </c>
      <c r="V156" s="162" t="s">
        <v>1449</v>
      </c>
      <c r="W156" s="162" t="s">
        <v>1521</v>
      </c>
      <c r="X156" s="251">
        <f t="shared" ca="1" si="5"/>
        <v>-0.26</v>
      </c>
      <c r="Z156" s="1" t="s">
        <v>1497</v>
      </c>
      <c r="AA156">
        <v>1</v>
      </c>
    </row>
    <row r="157" spans="2:27">
      <c r="B157" s="248">
        <v>9</v>
      </c>
      <c r="C157" s="162" t="s">
        <v>1522</v>
      </c>
      <c r="D157" s="162">
        <f ca="1">ROUNDUP((TODAY()-'FUNCTIONS PRACTICE'!$E187)/365.5,0)</f>
        <v>25</v>
      </c>
      <c r="E157" s="249">
        <v>36725</v>
      </c>
      <c r="F157" s="162" t="s">
        <v>1523</v>
      </c>
      <c r="G157" s="162" t="s">
        <v>1524</v>
      </c>
      <c r="H157" s="162" t="s">
        <v>1525</v>
      </c>
      <c r="I157" s="249">
        <v>27665</v>
      </c>
      <c r="J157" s="162" t="s">
        <v>1526</v>
      </c>
      <c r="K157" s="402">
        <v>2500</v>
      </c>
      <c r="L157" s="249">
        <v>44994</v>
      </c>
      <c r="M157" s="249">
        <v>45239</v>
      </c>
      <c r="N157" s="249">
        <v>45452</v>
      </c>
      <c r="O157" s="162" t="s">
        <v>1456</v>
      </c>
      <c r="P157" s="162">
        <v>109</v>
      </c>
      <c r="Q157" s="162" t="str">
        <f t="shared" si="4"/>
        <v>(901) 234-5678</v>
      </c>
      <c r="R157" s="375" t="s">
        <v>1527</v>
      </c>
      <c r="S157" s="162" t="s">
        <v>1528</v>
      </c>
      <c r="T157" s="162" t="s">
        <v>1529</v>
      </c>
      <c r="U157" s="162" t="s">
        <v>1530</v>
      </c>
      <c r="V157" s="162" t="s">
        <v>966</v>
      </c>
      <c r="W157" s="162" t="s">
        <v>1492</v>
      </c>
      <c r="X157" s="251">
        <f t="shared" ca="1" si="5"/>
        <v>-0.26</v>
      </c>
      <c r="Z157" s="1" t="s">
        <v>1443</v>
      </c>
      <c r="AA157">
        <v>5</v>
      </c>
    </row>
    <row r="158" spans="2:27">
      <c r="B158" s="248">
        <v>10</v>
      </c>
      <c r="C158" s="162" t="s">
        <v>1531</v>
      </c>
      <c r="D158" s="162">
        <f ca="1">ROUNDUP((TODAY()-'FUNCTIONS PRACTICE'!$E181)/365.5,0)</f>
        <v>35</v>
      </c>
      <c r="E158" s="249">
        <v>32998</v>
      </c>
      <c r="F158" s="162" t="s">
        <v>1532</v>
      </c>
      <c r="G158" s="162" t="s">
        <v>1533</v>
      </c>
      <c r="H158" s="162" t="s">
        <v>1534</v>
      </c>
      <c r="I158" s="249">
        <v>22112</v>
      </c>
      <c r="J158" s="162" t="s">
        <v>1535</v>
      </c>
      <c r="K158" s="402">
        <v>300</v>
      </c>
      <c r="L158" s="249">
        <v>44995</v>
      </c>
      <c r="M158" s="249">
        <v>45209</v>
      </c>
      <c r="N158" s="249">
        <v>45422</v>
      </c>
      <c r="O158" s="162" t="s">
        <v>1444</v>
      </c>
      <c r="P158" s="162">
        <v>110</v>
      </c>
      <c r="Q158" s="162" t="str">
        <f t="shared" si="4"/>
        <v>(012) 345-6789</v>
      </c>
      <c r="R158" s="375" t="s">
        <v>1536</v>
      </c>
      <c r="S158" s="162" t="s">
        <v>1537</v>
      </c>
      <c r="T158" s="162" t="s">
        <v>1538</v>
      </c>
      <c r="U158" s="162" t="s">
        <v>1539</v>
      </c>
      <c r="V158" s="162" t="s">
        <v>1449</v>
      </c>
      <c r="W158" s="162" t="s">
        <v>1540</v>
      </c>
      <c r="X158" s="251">
        <f t="shared" ca="1" si="5"/>
        <v>-0.18000000000000002</v>
      </c>
      <c r="Z158" s="1" t="s">
        <v>1545</v>
      </c>
      <c r="AA158">
        <v>3</v>
      </c>
    </row>
    <row r="159" spans="2:27">
      <c r="B159" s="248">
        <v>11</v>
      </c>
      <c r="C159" s="162" t="s">
        <v>1541</v>
      </c>
      <c r="D159" s="162">
        <f ca="1">ROUNDUP((TODAY()-'FUNCTIONS PRACTICE'!$E197)/365.5,0)</f>
        <v>25</v>
      </c>
      <c r="E159" s="249">
        <v>27682</v>
      </c>
      <c r="F159" s="162" t="s">
        <v>1542</v>
      </c>
      <c r="G159" s="162" t="s">
        <v>1543</v>
      </c>
      <c r="H159" s="162" t="s">
        <v>1544</v>
      </c>
      <c r="I159" s="249">
        <v>20260</v>
      </c>
      <c r="J159" s="162" t="s">
        <v>1545</v>
      </c>
      <c r="K159" s="402">
        <v>1000</v>
      </c>
      <c r="L159" s="249">
        <v>44996</v>
      </c>
      <c r="M159" s="249">
        <v>45271</v>
      </c>
      <c r="N159" s="249">
        <v>45484</v>
      </c>
      <c r="O159" s="162" t="s">
        <v>1456</v>
      </c>
      <c r="P159" s="162">
        <v>111</v>
      </c>
      <c r="Q159" s="162" t="str">
        <f t="shared" si="4"/>
        <v>(123) 456-7890</v>
      </c>
      <c r="R159" s="375" t="s">
        <v>1445</v>
      </c>
      <c r="S159" s="162" t="s">
        <v>1446</v>
      </c>
      <c r="T159" s="162" t="s">
        <v>1447</v>
      </c>
      <c r="U159" s="162" t="s">
        <v>1546</v>
      </c>
      <c r="V159" s="162" t="s">
        <v>966</v>
      </c>
      <c r="W159" s="162" t="s">
        <v>1547</v>
      </c>
      <c r="X159" s="251">
        <f t="shared" ca="1" si="5"/>
        <v>-0.19</v>
      </c>
      <c r="Z159" s="1" t="s">
        <v>1579</v>
      </c>
      <c r="AA159">
        <v>3</v>
      </c>
    </row>
    <row r="160" spans="2:27">
      <c r="B160" s="248">
        <v>12</v>
      </c>
      <c r="C160" s="162" t="s">
        <v>1548</v>
      </c>
      <c r="D160" s="162">
        <f ca="1">ROUNDUP((TODAY()-'FUNCTIONS PRACTICE'!$E166)/365.5,0)</f>
        <v>30</v>
      </c>
      <c r="E160" s="249">
        <v>31106</v>
      </c>
      <c r="F160" s="162" t="s">
        <v>1549</v>
      </c>
      <c r="G160" s="162" t="s">
        <v>1550</v>
      </c>
      <c r="H160" s="162" t="s">
        <v>1551</v>
      </c>
      <c r="I160" s="249">
        <v>22023</v>
      </c>
      <c r="J160" s="162" t="s">
        <v>1552</v>
      </c>
      <c r="K160" s="402">
        <v>150</v>
      </c>
      <c r="L160" s="249">
        <v>44997</v>
      </c>
      <c r="M160" s="249">
        <v>45150</v>
      </c>
      <c r="N160" s="249">
        <v>45363</v>
      </c>
      <c r="O160" s="162" t="s">
        <v>1444</v>
      </c>
      <c r="P160" s="162">
        <v>112</v>
      </c>
      <c r="Q160" s="162" t="str">
        <f t="shared" si="4"/>
        <v>(234) 567-8901</v>
      </c>
      <c r="R160" s="375" t="s">
        <v>1457</v>
      </c>
      <c r="S160" s="162" t="s">
        <v>1458</v>
      </c>
      <c r="T160" s="162" t="s">
        <v>1459</v>
      </c>
      <c r="U160" s="162" t="s">
        <v>1553</v>
      </c>
      <c r="V160" s="162" t="s">
        <v>1449</v>
      </c>
      <c r="W160" s="162" t="s">
        <v>1554</v>
      </c>
      <c r="X160" s="251">
        <f t="shared" ca="1" si="5"/>
        <v>-0.16</v>
      </c>
      <c r="Z160" s="1" t="s">
        <v>1477</v>
      </c>
      <c r="AA160">
        <v>1</v>
      </c>
    </row>
    <row r="161" spans="2:27">
      <c r="B161" s="248">
        <v>13</v>
      </c>
      <c r="C161" s="162" t="s">
        <v>1555</v>
      </c>
      <c r="D161" s="162">
        <f ca="1">ROUNDUP((TODAY()-'FUNCTIONS PRACTICE'!$E183)/365.5,0)</f>
        <v>31</v>
      </c>
      <c r="E161" s="249">
        <v>38675</v>
      </c>
      <c r="F161" s="162" t="s">
        <v>1556</v>
      </c>
      <c r="G161" s="162" t="s">
        <v>1557</v>
      </c>
      <c r="H161" s="162" t="s">
        <v>1558</v>
      </c>
      <c r="I161" s="249">
        <v>29533</v>
      </c>
      <c r="J161" s="162" t="s">
        <v>1559</v>
      </c>
      <c r="K161" s="402">
        <v>200</v>
      </c>
      <c r="L161" s="249">
        <v>44998</v>
      </c>
      <c r="M161" s="249">
        <v>45212</v>
      </c>
      <c r="N161" s="249">
        <v>45364</v>
      </c>
      <c r="O161" s="162" t="s">
        <v>1456</v>
      </c>
      <c r="P161" s="162">
        <v>113</v>
      </c>
      <c r="Q161" s="162" t="str">
        <f t="shared" si="4"/>
        <v>(345) 678-9012</v>
      </c>
      <c r="R161" s="375" t="s">
        <v>1467</v>
      </c>
      <c r="S161" s="162" t="s">
        <v>1468</v>
      </c>
      <c r="T161" s="162" t="s">
        <v>1469</v>
      </c>
      <c r="U161" s="162" t="s">
        <v>1560</v>
      </c>
      <c r="V161" s="162" t="s">
        <v>1471</v>
      </c>
      <c r="W161" s="162" t="s">
        <v>1561</v>
      </c>
      <c r="X161" s="251">
        <f t="shared" ca="1" si="5"/>
        <v>-0.18000000000000002</v>
      </c>
      <c r="Z161" s="1" t="s">
        <v>1646</v>
      </c>
      <c r="AA161">
        <v>2</v>
      </c>
    </row>
    <row r="162" spans="2:27">
      <c r="B162" s="248">
        <v>14</v>
      </c>
      <c r="C162" s="162" t="s">
        <v>1562</v>
      </c>
      <c r="D162" s="162">
        <f ca="1">ROUNDUP((TODAY()-'FUNCTIONS PRACTICE'!$E199)/365.5,0)</f>
        <v>60</v>
      </c>
      <c r="E162" s="249">
        <v>25722</v>
      </c>
      <c r="F162" s="162" t="s">
        <v>1563</v>
      </c>
      <c r="G162" s="162" t="s">
        <v>1564</v>
      </c>
      <c r="H162" s="162" t="s">
        <v>1565</v>
      </c>
      <c r="I162" s="249">
        <v>25593</v>
      </c>
      <c r="J162" s="162" t="s">
        <v>1566</v>
      </c>
      <c r="K162" s="402">
        <v>400</v>
      </c>
      <c r="L162" s="249">
        <v>44999</v>
      </c>
      <c r="M162" s="249">
        <v>45274</v>
      </c>
      <c r="N162" s="249">
        <v>45426</v>
      </c>
      <c r="O162" s="162" t="s">
        <v>1444</v>
      </c>
      <c r="P162" s="162">
        <v>114</v>
      </c>
      <c r="Q162" s="162" t="str">
        <f t="shared" si="4"/>
        <v>(456) 789-0123</v>
      </c>
      <c r="R162" s="375" t="s">
        <v>1478</v>
      </c>
      <c r="S162" s="162" t="s">
        <v>1479</v>
      </c>
      <c r="T162" s="162" t="s">
        <v>1480</v>
      </c>
      <c r="U162" s="162" t="s">
        <v>1567</v>
      </c>
      <c r="V162" s="162" t="s">
        <v>1449</v>
      </c>
      <c r="W162" s="162" t="s">
        <v>1540</v>
      </c>
      <c r="X162" s="251">
        <f t="shared" ca="1" si="5"/>
        <v>-0.2</v>
      </c>
      <c r="Z162" s="1" t="s">
        <v>1597</v>
      </c>
      <c r="AA162">
        <v>3</v>
      </c>
    </row>
    <row r="163" spans="2:27">
      <c r="B163" s="248">
        <v>15</v>
      </c>
      <c r="C163" s="162" t="s">
        <v>1568</v>
      </c>
      <c r="D163" s="162">
        <f ca="1">ROUNDUP((TODAY()-'FUNCTIONS PRACTICE'!$E152)/365.5,0)</f>
        <v>40</v>
      </c>
      <c r="E163" s="249">
        <v>33107</v>
      </c>
      <c r="F163" s="162" t="s">
        <v>1569</v>
      </c>
      <c r="G163" s="162" t="s">
        <v>1570</v>
      </c>
      <c r="H163" s="162" t="s">
        <v>1571</v>
      </c>
      <c r="I163" s="249">
        <v>27523</v>
      </c>
      <c r="J163" s="162" t="s">
        <v>1572</v>
      </c>
      <c r="K163" s="402">
        <v>100</v>
      </c>
      <c r="L163" s="249">
        <v>45000</v>
      </c>
      <c r="M163" s="249">
        <v>45061</v>
      </c>
      <c r="N163" s="249">
        <v>45214</v>
      </c>
      <c r="O163" s="162" t="s">
        <v>1456</v>
      </c>
      <c r="P163" s="162">
        <v>115</v>
      </c>
      <c r="Q163" s="162" t="str">
        <f t="shared" si="4"/>
        <v>(567) 890-1234</v>
      </c>
      <c r="R163" s="375" t="s">
        <v>1488</v>
      </c>
      <c r="S163" s="162" t="s">
        <v>1489</v>
      </c>
      <c r="T163" s="162" t="s">
        <v>1490</v>
      </c>
      <c r="U163" s="162" t="s">
        <v>1573</v>
      </c>
      <c r="V163" s="162" t="s">
        <v>966</v>
      </c>
      <c r="W163" s="162" t="s">
        <v>1574</v>
      </c>
      <c r="X163" s="251">
        <f t="shared" ca="1" si="5"/>
        <v>-0.2</v>
      </c>
      <c r="Z163" s="1" t="s">
        <v>1623</v>
      </c>
      <c r="AA163">
        <v>3</v>
      </c>
    </row>
    <row r="164" spans="2:27">
      <c r="B164" s="248">
        <v>16</v>
      </c>
      <c r="C164" s="162" t="s">
        <v>1575</v>
      </c>
      <c r="D164" s="162">
        <f ca="1">ROUNDUP((TODAY()-'FUNCTIONS PRACTICE'!$E159)/365.5,0)</f>
        <v>50</v>
      </c>
      <c r="E164" s="249">
        <v>31386</v>
      </c>
      <c r="F164" s="162" t="s">
        <v>1576</v>
      </c>
      <c r="G164" s="162" t="s">
        <v>1577</v>
      </c>
      <c r="H164" s="162" t="s">
        <v>1578</v>
      </c>
      <c r="I164" s="249">
        <v>23786</v>
      </c>
      <c r="J164" s="162" t="s">
        <v>1579</v>
      </c>
      <c r="K164" s="402">
        <v>80</v>
      </c>
      <c r="L164" s="249">
        <v>45001</v>
      </c>
      <c r="M164" s="249">
        <v>45123</v>
      </c>
      <c r="N164" s="249">
        <v>45276</v>
      </c>
      <c r="O164" s="162" t="s">
        <v>1444</v>
      </c>
      <c r="P164" s="162">
        <v>116</v>
      </c>
      <c r="Q164" s="162" t="str">
        <f t="shared" si="4"/>
        <v>(678) 901-2345</v>
      </c>
      <c r="R164" s="375" t="s">
        <v>1498</v>
      </c>
      <c r="S164" s="162" t="s">
        <v>1499</v>
      </c>
      <c r="T164" s="162" t="s">
        <v>1500</v>
      </c>
      <c r="U164" s="162" t="s">
        <v>1580</v>
      </c>
      <c r="V164" s="162" t="s">
        <v>1449</v>
      </c>
      <c r="W164" s="162" t="s">
        <v>1450</v>
      </c>
      <c r="X164" s="251">
        <f t="shared" ca="1" si="5"/>
        <v>-0.2</v>
      </c>
      <c r="Z164" s="1" t="s">
        <v>1572</v>
      </c>
      <c r="AA164">
        <v>3</v>
      </c>
    </row>
    <row r="165" spans="2:27">
      <c r="B165" s="248">
        <v>17</v>
      </c>
      <c r="C165" s="162" t="s">
        <v>1581</v>
      </c>
      <c r="D165" s="162">
        <f ca="1">ROUNDUP((TODAY()-'FUNCTIONS PRACTICE'!$E174)/365.5,0)</f>
        <v>55</v>
      </c>
      <c r="E165" s="249">
        <v>36627</v>
      </c>
      <c r="F165" s="162" t="s">
        <v>1582</v>
      </c>
      <c r="G165" s="162" t="s">
        <v>1583</v>
      </c>
      <c r="H165" s="162" t="s">
        <v>1584</v>
      </c>
      <c r="I165" s="249">
        <v>21976</v>
      </c>
      <c r="J165" s="162" t="s">
        <v>1585</v>
      </c>
      <c r="K165" s="402">
        <v>600</v>
      </c>
      <c r="L165" s="249">
        <v>45002</v>
      </c>
      <c r="M165" s="249">
        <v>45186</v>
      </c>
      <c r="N165" s="249">
        <v>45339</v>
      </c>
      <c r="O165" s="162" t="s">
        <v>1456</v>
      </c>
      <c r="P165" s="162">
        <v>117</v>
      </c>
      <c r="Q165" s="162" t="str">
        <f t="shared" si="4"/>
        <v>(789) 012-3456</v>
      </c>
      <c r="R165" s="375" t="s">
        <v>1507</v>
      </c>
      <c r="S165" s="162" t="s">
        <v>1508</v>
      </c>
      <c r="T165" s="162" t="s">
        <v>1509</v>
      </c>
      <c r="U165" s="162" t="s">
        <v>1586</v>
      </c>
      <c r="V165" s="162" t="s">
        <v>1471</v>
      </c>
      <c r="W165" s="162" t="s">
        <v>1587</v>
      </c>
      <c r="X165" s="251">
        <f t="shared" ca="1" si="5"/>
        <v>-0.19</v>
      </c>
      <c r="Z165" s="1" t="s">
        <v>1506</v>
      </c>
      <c r="AA165">
        <v>1</v>
      </c>
    </row>
    <row r="166" spans="2:27">
      <c r="B166" s="248">
        <v>18</v>
      </c>
      <c r="C166" s="162" t="s">
        <v>1588</v>
      </c>
      <c r="D166" s="162">
        <f ca="1">ROUNDUP((TODAY()-'FUNCTIONS PRACTICE'!$E188)/365.5,0)</f>
        <v>36</v>
      </c>
      <c r="E166" s="249">
        <v>34895</v>
      </c>
      <c r="F166" s="162" t="s">
        <v>1589</v>
      </c>
      <c r="G166" s="162" t="s">
        <v>1590</v>
      </c>
      <c r="H166" s="162" t="s">
        <v>1591</v>
      </c>
      <c r="I166" s="249">
        <v>25695</v>
      </c>
      <c r="J166" s="162" t="s">
        <v>1516</v>
      </c>
      <c r="K166" s="402">
        <v>500</v>
      </c>
      <c r="L166" s="249">
        <v>45003</v>
      </c>
      <c r="M166" s="249">
        <v>45248</v>
      </c>
      <c r="N166" s="249">
        <v>45430</v>
      </c>
      <c r="O166" s="162" t="s">
        <v>1444</v>
      </c>
      <c r="P166" s="162">
        <v>118</v>
      </c>
      <c r="Q166" s="162" t="str">
        <f t="shared" si="4"/>
        <v>(890) 123-4567</v>
      </c>
      <c r="R166" s="375" t="s">
        <v>1517</v>
      </c>
      <c r="S166" s="162" t="s">
        <v>1518</v>
      </c>
      <c r="T166" s="162" t="s">
        <v>1519</v>
      </c>
      <c r="U166" s="162" t="s">
        <v>1592</v>
      </c>
      <c r="V166" s="162" t="s">
        <v>1449</v>
      </c>
      <c r="W166" s="162" t="s">
        <v>1521</v>
      </c>
      <c r="X166" s="251">
        <f t="shared" ca="1" si="5"/>
        <v>-0.19</v>
      </c>
      <c r="Z166" s="1" t="s">
        <v>1585</v>
      </c>
      <c r="AA166">
        <v>3</v>
      </c>
    </row>
    <row r="167" spans="2:27">
      <c r="B167" s="248">
        <v>19</v>
      </c>
      <c r="C167" s="162" t="s">
        <v>1593</v>
      </c>
      <c r="D167" s="162">
        <f ca="1">ROUNDUP((TODAY()-'FUNCTIONS PRACTICE'!$E208)/365.5,0)</f>
        <v>30</v>
      </c>
      <c r="E167" s="249">
        <v>25882</v>
      </c>
      <c r="F167" s="162" t="s">
        <v>1594</v>
      </c>
      <c r="G167" s="162" t="s">
        <v>1595</v>
      </c>
      <c r="H167" s="162" t="s">
        <v>1596</v>
      </c>
      <c r="I167" s="249">
        <v>23969</v>
      </c>
      <c r="J167" s="162" t="s">
        <v>1597</v>
      </c>
      <c r="K167" s="402">
        <v>900</v>
      </c>
      <c r="L167" s="249">
        <v>45004</v>
      </c>
      <c r="M167" s="249">
        <v>45370</v>
      </c>
      <c r="N167" s="249">
        <v>45554</v>
      </c>
      <c r="O167" s="162" t="s">
        <v>1456</v>
      </c>
      <c r="P167" s="162">
        <v>119</v>
      </c>
      <c r="Q167" s="162" t="str">
        <f t="shared" si="4"/>
        <v>(901) 234-5678</v>
      </c>
      <c r="R167" s="375" t="s">
        <v>1527</v>
      </c>
      <c r="S167" s="162" t="s">
        <v>1528</v>
      </c>
      <c r="T167" s="162" t="s">
        <v>1529</v>
      </c>
      <c r="U167" s="162" t="s">
        <v>1539</v>
      </c>
      <c r="V167" s="162" t="s">
        <v>1471</v>
      </c>
      <c r="W167" s="162" t="s">
        <v>1598</v>
      </c>
      <c r="X167" s="251">
        <f t="shared" ca="1" si="5"/>
        <v>-0.2</v>
      </c>
      <c r="Z167" s="1" t="s">
        <v>1487</v>
      </c>
      <c r="AA167">
        <v>1</v>
      </c>
    </row>
    <row r="168" spans="2:27">
      <c r="B168" s="248">
        <v>20</v>
      </c>
      <c r="C168" s="162" t="s">
        <v>1599</v>
      </c>
      <c r="D168" s="162">
        <f ca="1">ROUNDUP((TODAY()-'FUNCTIONS PRACTICE'!$E209)/365.5,0)</f>
        <v>40</v>
      </c>
      <c r="E168" s="249">
        <v>29276</v>
      </c>
      <c r="F168" s="162" t="s">
        <v>1600</v>
      </c>
      <c r="G168" s="162" t="s">
        <v>1601</v>
      </c>
      <c r="H168" s="162" t="s">
        <v>1602</v>
      </c>
      <c r="I168" s="249">
        <v>22089</v>
      </c>
      <c r="J168" s="162" t="s">
        <v>1603</v>
      </c>
      <c r="K168" s="402">
        <v>700</v>
      </c>
      <c r="L168" s="249">
        <v>45005</v>
      </c>
      <c r="M168" s="249">
        <v>45311</v>
      </c>
      <c r="N168" s="249">
        <v>45463</v>
      </c>
      <c r="O168" s="162" t="s">
        <v>1444</v>
      </c>
      <c r="P168" s="162">
        <v>120</v>
      </c>
      <c r="Q168" s="162" t="str">
        <f t="shared" si="4"/>
        <v>(012) 345-6789</v>
      </c>
      <c r="R168" s="375" t="s">
        <v>1536</v>
      </c>
      <c r="S168" s="162" t="s">
        <v>1537</v>
      </c>
      <c r="T168" s="162" t="s">
        <v>1538</v>
      </c>
      <c r="U168" s="162" t="s">
        <v>1546</v>
      </c>
      <c r="V168" s="162" t="s">
        <v>1449</v>
      </c>
      <c r="W168" s="162" t="s">
        <v>1604</v>
      </c>
      <c r="X168" s="251">
        <f t="shared" ca="1" si="5"/>
        <v>-0.18000000000000002</v>
      </c>
      <c r="Z168" s="1" t="s">
        <v>1535</v>
      </c>
      <c r="AA168">
        <v>4</v>
      </c>
    </row>
    <row r="169" spans="2:27">
      <c r="B169" s="248">
        <v>21</v>
      </c>
      <c r="C169" s="162" t="s">
        <v>1605</v>
      </c>
      <c r="D169" s="162">
        <f ca="1">ROUNDUP((TODAY()-'FUNCTIONS PRACTICE'!$E169)/365.5,0)</f>
        <v>50</v>
      </c>
      <c r="E169" s="249">
        <v>27528</v>
      </c>
      <c r="F169" s="162" t="s">
        <v>1606</v>
      </c>
      <c r="G169" s="162" t="s">
        <v>1607</v>
      </c>
      <c r="H169" s="162" t="s">
        <v>1608</v>
      </c>
      <c r="I169" s="249">
        <v>27495</v>
      </c>
      <c r="J169" s="162" t="s">
        <v>1443</v>
      </c>
      <c r="K169" s="402">
        <v>200</v>
      </c>
      <c r="L169" s="249">
        <v>45006</v>
      </c>
      <c r="M169" s="249">
        <v>45159</v>
      </c>
      <c r="N169" s="249">
        <v>45372</v>
      </c>
      <c r="O169" s="162" t="s">
        <v>1456</v>
      </c>
      <c r="P169" s="162">
        <v>121</v>
      </c>
      <c r="Q169" s="162" t="str">
        <f t="shared" si="4"/>
        <v>(123) 456-7890</v>
      </c>
      <c r="R169" s="375" t="s">
        <v>1445</v>
      </c>
      <c r="S169" s="162" t="s">
        <v>1446</v>
      </c>
      <c r="T169" s="162" t="s">
        <v>1447</v>
      </c>
      <c r="U169" s="162" t="s">
        <v>1470</v>
      </c>
      <c r="V169" s="162" t="s">
        <v>966</v>
      </c>
      <c r="W169" s="162" t="s">
        <v>1450</v>
      </c>
      <c r="X169" s="251">
        <f t="shared" ca="1" si="5"/>
        <v>-0.18000000000000002</v>
      </c>
      <c r="Z169" s="1" t="s">
        <v>1466</v>
      </c>
      <c r="AA169">
        <v>1</v>
      </c>
    </row>
    <row r="170" spans="2:27">
      <c r="B170" s="248">
        <v>22</v>
      </c>
      <c r="C170" s="162" t="s">
        <v>1609</v>
      </c>
      <c r="D170" s="162">
        <f ca="1">ROUNDUP((TODAY()-'FUNCTIONS PRACTICE'!$E189)/365.5,0)</f>
        <v>50</v>
      </c>
      <c r="E170" s="249">
        <v>33153</v>
      </c>
      <c r="F170" s="162" t="s">
        <v>1610</v>
      </c>
      <c r="G170" s="162" t="s">
        <v>1611</v>
      </c>
      <c r="H170" s="162" t="s">
        <v>1612</v>
      </c>
      <c r="I170" s="249">
        <v>23757</v>
      </c>
      <c r="J170" s="162" t="s">
        <v>1613</v>
      </c>
      <c r="K170" s="402">
        <v>1500</v>
      </c>
      <c r="L170" s="249">
        <v>45007</v>
      </c>
      <c r="M170" s="249">
        <v>45252</v>
      </c>
      <c r="N170" s="249">
        <v>45434</v>
      </c>
      <c r="O170" s="162" t="s">
        <v>1444</v>
      </c>
      <c r="P170" s="162">
        <v>122</v>
      </c>
      <c r="Q170" s="162" t="str">
        <f t="shared" si="4"/>
        <v>(234) 567-8901</v>
      </c>
      <c r="R170" s="375" t="s">
        <v>1457</v>
      </c>
      <c r="S170" s="162" t="s">
        <v>1458</v>
      </c>
      <c r="T170" s="162" t="s">
        <v>1459</v>
      </c>
      <c r="U170" s="162" t="s">
        <v>1481</v>
      </c>
      <c r="V170" s="162" t="s">
        <v>1449</v>
      </c>
      <c r="W170" s="162" t="s">
        <v>1492</v>
      </c>
      <c r="X170" s="251">
        <f t="shared" ca="1" si="5"/>
        <v>-0.17</v>
      </c>
      <c r="Z170" s="1" t="s">
        <v>1618</v>
      </c>
      <c r="AA170">
        <v>2</v>
      </c>
    </row>
    <row r="171" spans="2:27">
      <c r="B171" s="248">
        <v>23</v>
      </c>
      <c r="C171" s="162" t="s">
        <v>1614</v>
      </c>
      <c r="D171" s="162">
        <f ca="1">ROUNDUP((TODAY()-'FUNCTIONS PRACTICE'!$E153)/365.5,0)</f>
        <v>30</v>
      </c>
      <c r="E171" s="249">
        <v>31404</v>
      </c>
      <c r="F171" s="162" t="s">
        <v>1615</v>
      </c>
      <c r="G171" s="162" t="s">
        <v>1616</v>
      </c>
      <c r="H171" s="162" t="s">
        <v>1617</v>
      </c>
      <c r="I171" s="249">
        <v>22275</v>
      </c>
      <c r="J171" s="162" t="s">
        <v>1618</v>
      </c>
      <c r="K171" s="402">
        <v>100</v>
      </c>
      <c r="L171" s="249">
        <v>45008</v>
      </c>
      <c r="M171" s="249">
        <v>45069</v>
      </c>
      <c r="N171" s="249">
        <v>45222</v>
      </c>
      <c r="O171" s="162" t="s">
        <v>1456</v>
      </c>
      <c r="P171" s="162">
        <v>123</v>
      </c>
      <c r="Q171" s="162" t="str">
        <f t="shared" si="4"/>
        <v>(345) 678-9012</v>
      </c>
      <c r="R171" s="375" t="s">
        <v>1467</v>
      </c>
      <c r="S171" s="162" t="s">
        <v>1468</v>
      </c>
      <c r="T171" s="162" t="s">
        <v>1469</v>
      </c>
      <c r="U171" s="162" t="s">
        <v>1560</v>
      </c>
      <c r="V171" s="162" t="s">
        <v>966</v>
      </c>
      <c r="W171" s="162" t="s">
        <v>1587</v>
      </c>
      <c r="X171" s="251">
        <f t="shared" ca="1" si="5"/>
        <v>-0.22</v>
      </c>
      <c r="Z171" s="1" t="s">
        <v>1552</v>
      </c>
      <c r="AA171">
        <v>3</v>
      </c>
    </row>
    <row r="172" spans="2:27">
      <c r="B172" s="248">
        <v>24</v>
      </c>
      <c r="C172" s="162" t="s">
        <v>1619</v>
      </c>
      <c r="D172" s="162">
        <f ca="1">ROUNDUP((TODAY()-'FUNCTIONS PRACTICE'!$E160)/365.5,0)</f>
        <v>40</v>
      </c>
      <c r="E172" s="249">
        <v>23904</v>
      </c>
      <c r="F172" s="162" t="s">
        <v>1620</v>
      </c>
      <c r="G172" s="162" t="s">
        <v>1621</v>
      </c>
      <c r="H172" s="162" t="s">
        <v>1622</v>
      </c>
      <c r="I172" s="249">
        <v>20151</v>
      </c>
      <c r="J172" s="162" t="s">
        <v>1623</v>
      </c>
      <c r="K172" s="402">
        <v>800</v>
      </c>
      <c r="L172" s="249">
        <v>45009</v>
      </c>
      <c r="M172" s="249">
        <v>45131</v>
      </c>
      <c r="N172" s="249">
        <v>45284</v>
      </c>
      <c r="O172" s="162" t="s">
        <v>1444</v>
      </c>
      <c r="P172" s="162">
        <v>124</v>
      </c>
      <c r="Q172" s="162" t="str">
        <f t="shared" si="4"/>
        <v>(456) 789-0123</v>
      </c>
      <c r="R172" s="375" t="s">
        <v>1478</v>
      </c>
      <c r="S172" s="162" t="s">
        <v>1479</v>
      </c>
      <c r="T172" s="162" t="s">
        <v>1480</v>
      </c>
      <c r="U172" s="162" t="s">
        <v>1491</v>
      </c>
      <c r="V172" s="162" t="s">
        <v>1449</v>
      </c>
      <c r="W172" s="162" t="s">
        <v>1624</v>
      </c>
      <c r="X172" s="251">
        <f t="shared" ca="1" si="5"/>
        <v>-0.26</v>
      </c>
      <c r="Z172" s="1" t="s">
        <v>1629</v>
      </c>
      <c r="AA172">
        <v>3</v>
      </c>
    </row>
    <row r="173" spans="2:27">
      <c r="B173" s="248">
        <v>25</v>
      </c>
      <c r="C173" s="162" t="s">
        <v>1625</v>
      </c>
      <c r="D173" s="162">
        <f ca="1">ROUNDUP((TODAY()-'FUNCTIONS PRACTICE'!$E176)/365.5,0)</f>
        <v>46</v>
      </c>
      <c r="E173" s="249">
        <v>33144</v>
      </c>
      <c r="F173" s="162" t="s">
        <v>1626</v>
      </c>
      <c r="G173" s="162" t="s">
        <v>1627</v>
      </c>
      <c r="H173" s="162" t="s">
        <v>1628</v>
      </c>
      <c r="I173" s="249">
        <v>22207</v>
      </c>
      <c r="J173" s="162" t="s">
        <v>1629</v>
      </c>
      <c r="K173" s="402">
        <v>300</v>
      </c>
      <c r="L173" s="249">
        <v>45010</v>
      </c>
      <c r="M173" s="249">
        <v>45194</v>
      </c>
      <c r="N173" s="249">
        <v>45347</v>
      </c>
      <c r="O173" s="162" t="s">
        <v>1456</v>
      </c>
      <c r="P173" s="162">
        <v>125</v>
      </c>
      <c r="Q173" s="162" t="str">
        <f t="shared" si="4"/>
        <v>(567) 890-1234</v>
      </c>
      <c r="R173" s="375" t="s">
        <v>1488</v>
      </c>
      <c r="S173" s="162" t="s">
        <v>1489</v>
      </c>
      <c r="T173" s="162" t="s">
        <v>1490</v>
      </c>
      <c r="U173" s="162" t="s">
        <v>1501</v>
      </c>
      <c r="V173" s="162" t="s">
        <v>966</v>
      </c>
      <c r="W173" s="162" t="s">
        <v>1630</v>
      </c>
      <c r="X173" s="251">
        <f t="shared" ca="1" si="5"/>
        <v>-0.26</v>
      </c>
      <c r="Z173" s="1" t="s">
        <v>1650</v>
      </c>
      <c r="AA173">
        <v>2</v>
      </c>
    </row>
    <row r="174" spans="2:27">
      <c r="B174" s="248">
        <v>26</v>
      </c>
      <c r="C174" s="162" t="s">
        <v>1631</v>
      </c>
      <c r="D174" s="162">
        <f ca="1">ROUNDUP((TODAY()-'FUNCTIONS PRACTICE'!$E201)/365.5,0)</f>
        <v>40</v>
      </c>
      <c r="E174" s="249">
        <v>25630</v>
      </c>
      <c r="F174" s="162" t="s">
        <v>1632</v>
      </c>
      <c r="G174" s="162" t="s">
        <v>1633</v>
      </c>
      <c r="H174" s="162" t="s">
        <v>1634</v>
      </c>
      <c r="I174" s="249">
        <v>27710</v>
      </c>
      <c r="J174" s="162" t="s">
        <v>1535</v>
      </c>
      <c r="K174" s="402">
        <v>300</v>
      </c>
      <c r="L174" s="249">
        <v>45011</v>
      </c>
      <c r="M174" s="249">
        <v>45286</v>
      </c>
      <c r="N174" s="249">
        <v>45469</v>
      </c>
      <c r="O174" s="162" t="s">
        <v>1444</v>
      </c>
      <c r="P174" s="162">
        <v>126</v>
      </c>
      <c r="Q174" s="162" t="str">
        <f t="shared" si="4"/>
        <v>(678) 901-2345</v>
      </c>
      <c r="R174" s="375" t="s">
        <v>1498</v>
      </c>
      <c r="S174" s="162" t="s">
        <v>1499</v>
      </c>
      <c r="T174" s="162" t="s">
        <v>1500</v>
      </c>
      <c r="U174" s="162" t="s">
        <v>1573</v>
      </c>
      <c r="V174" s="162" t="s">
        <v>1449</v>
      </c>
      <c r="W174" s="162" t="s">
        <v>1540</v>
      </c>
      <c r="X174" s="251">
        <f t="shared" ca="1" si="5"/>
        <v>-0.25</v>
      </c>
      <c r="Z174" s="1" t="s">
        <v>173</v>
      </c>
      <c r="AA174">
        <v>63</v>
      </c>
    </row>
    <row r="175" spans="2:27">
      <c r="B175" s="248">
        <v>27</v>
      </c>
      <c r="C175" s="162" t="s">
        <v>1635</v>
      </c>
      <c r="D175" s="162">
        <f ca="1">ROUNDUP((TODAY()-'FUNCTIONS PRACTICE'!$E210)/365.5,0)</f>
        <v>55</v>
      </c>
      <c r="E175" s="249">
        <v>24061</v>
      </c>
      <c r="F175" s="162" t="s">
        <v>1548</v>
      </c>
      <c r="G175" s="162" t="s">
        <v>1636</v>
      </c>
      <c r="H175" s="162" t="s">
        <v>1637</v>
      </c>
      <c r="I175" s="249">
        <v>22015</v>
      </c>
      <c r="J175" s="162" t="s">
        <v>1516</v>
      </c>
      <c r="K175" s="402">
        <v>500</v>
      </c>
      <c r="L175" s="249">
        <v>45012</v>
      </c>
      <c r="M175" s="249">
        <v>45318</v>
      </c>
      <c r="N175" s="249">
        <v>45470</v>
      </c>
      <c r="O175" s="162" t="s">
        <v>1456</v>
      </c>
      <c r="P175" s="162">
        <v>127</v>
      </c>
      <c r="Q175" s="162" t="str">
        <f t="shared" si="4"/>
        <v>(789) 012-3456</v>
      </c>
      <c r="R175" s="375" t="s">
        <v>1507</v>
      </c>
      <c r="S175" s="162" t="s">
        <v>1508</v>
      </c>
      <c r="T175" s="162" t="s">
        <v>1509</v>
      </c>
      <c r="U175" s="162" t="s">
        <v>1580</v>
      </c>
      <c r="V175" s="162" t="s">
        <v>1471</v>
      </c>
      <c r="W175" s="162" t="s">
        <v>1521</v>
      </c>
      <c r="X175" s="251">
        <f t="shared" ca="1" si="5"/>
        <v>-0.25</v>
      </c>
    </row>
    <row r="176" spans="2:27">
      <c r="B176" s="248">
        <v>28</v>
      </c>
      <c r="C176" s="162" t="s">
        <v>1615</v>
      </c>
      <c r="D176" s="162">
        <f ca="1">ROUNDUP((TODAY()-'FUNCTIONS PRACTICE'!$E170)/365.5,0)</f>
        <v>35</v>
      </c>
      <c r="E176" s="249">
        <v>29225</v>
      </c>
      <c r="F176" s="162" t="s">
        <v>1555</v>
      </c>
      <c r="G176" s="162" t="s">
        <v>1638</v>
      </c>
      <c r="H176" s="162" t="s">
        <v>1639</v>
      </c>
      <c r="I176" s="249">
        <v>23967</v>
      </c>
      <c r="J176" s="162" t="s">
        <v>1443</v>
      </c>
      <c r="K176" s="402">
        <v>200</v>
      </c>
      <c r="L176" s="249">
        <v>45013</v>
      </c>
      <c r="M176" s="249">
        <v>45166</v>
      </c>
      <c r="N176" s="249">
        <v>45319</v>
      </c>
      <c r="O176" s="162" t="s">
        <v>1444</v>
      </c>
      <c r="P176" s="162">
        <v>128</v>
      </c>
      <c r="Q176" s="162" t="str">
        <f t="shared" si="4"/>
        <v>(890) 123-4567</v>
      </c>
      <c r="R176" s="375" t="s">
        <v>1517</v>
      </c>
      <c r="S176" s="162" t="s">
        <v>1518</v>
      </c>
      <c r="T176" s="162" t="s">
        <v>1519</v>
      </c>
      <c r="U176" s="162" t="s">
        <v>1520</v>
      </c>
      <c r="V176" s="162" t="s">
        <v>1449</v>
      </c>
      <c r="W176" s="162" t="s">
        <v>1450</v>
      </c>
      <c r="X176" s="251">
        <f t="shared" ca="1" si="5"/>
        <v>-0.26</v>
      </c>
    </row>
    <row r="177" spans="2:24">
      <c r="B177" s="248">
        <v>29</v>
      </c>
      <c r="C177" s="162" t="s">
        <v>1640</v>
      </c>
      <c r="D177" s="162">
        <f ca="1">ROUNDUP((TODAY()-'FUNCTIONS PRACTICE'!$E202)/365.5,0)</f>
        <v>35</v>
      </c>
      <c r="E177" s="249">
        <v>34796</v>
      </c>
      <c r="F177" s="162" t="s">
        <v>1641</v>
      </c>
      <c r="G177" s="162" t="s">
        <v>1642</v>
      </c>
      <c r="H177" s="162" t="s">
        <v>1643</v>
      </c>
      <c r="I177" s="249">
        <v>22000</v>
      </c>
      <c r="J177" s="162" t="s">
        <v>1455</v>
      </c>
      <c r="K177" s="402">
        <v>1500</v>
      </c>
      <c r="L177" s="249">
        <v>45014</v>
      </c>
      <c r="M177" s="249">
        <v>45289</v>
      </c>
      <c r="N177" s="249">
        <v>45472</v>
      </c>
      <c r="O177" s="162" t="s">
        <v>1456</v>
      </c>
      <c r="P177" s="162">
        <v>129</v>
      </c>
      <c r="Q177" s="162" t="str">
        <f t="shared" si="4"/>
        <v>(901) 234-5678</v>
      </c>
      <c r="R177" s="375" t="s">
        <v>1527</v>
      </c>
      <c r="S177" s="162" t="s">
        <v>1528</v>
      </c>
      <c r="T177" s="162" t="s">
        <v>1529</v>
      </c>
      <c r="U177" s="162" t="s">
        <v>1530</v>
      </c>
      <c r="V177" s="162" t="s">
        <v>966</v>
      </c>
      <c r="W177" s="162" t="s">
        <v>1492</v>
      </c>
      <c r="X177" s="251">
        <f t="shared" ca="1" si="5"/>
        <v>-0.27</v>
      </c>
    </row>
    <row r="178" spans="2:24">
      <c r="B178" s="248">
        <v>30</v>
      </c>
      <c r="C178" s="162" t="s">
        <v>1599</v>
      </c>
      <c r="D178" s="162">
        <f ca="1">ROUNDUP((TODAY()-'FUNCTIONS PRACTICE'!$E177)/365.5,0)</f>
        <v>30</v>
      </c>
      <c r="E178" s="249">
        <v>31277</v>
      </c>
      <c r="F178" s="162" t="s">
        <v>1625</v>
      </c>
      <c r="G178" s="162" t="s">
        <v>1644</v>
      </c>
      <c r="H178" s="162" t="s">
        <v>1645</v>
      </c>
      <c r="I178" s="249">
        <v>25706</v>
      </c>
      <c r="J178" s="162" t="s">
        <v>1646</v>
      </c>
      <c r="K178" s="402">
        <v>800</v>
      </c>
      <c r="L178" s="249">
        <v>45015</v>
      </c>
      <c r="M178" s="249">
        <v>45199</v>
      </c>
      <c r="N178" s="249">
        <v>45353</v>
      </c>
      <c r="O178" s="162" t="s">
        <v>1444</v>
      </c>
      <c r="P178" s="162">
        <v>130</v>
      </c>
      <c r="Q178" s="162" t="str">
        <f t="shared" si="4"/>
        <v>(012) 345-6789</v>
      </c>
      <c r="R178" s="375" t="s">
        <v>1536</v>
      </c>
      <c r="S178" s="162" t="s">
        <v>1537</v>
      </c>
      <c r="T178" s="162" t="s">
        <v>1538</v>
      </c>
      <c r="U178" s="162" t="s">
        <v>1539</v>
      </c>
      <c r="V178" s="162" t="s">
        <v>1449</v>
      </c>
      <c r="W178" s="162" t="s">
        <v>1647</v>
      </c>
      <c r="X178" s="251">
        <f t="shared" ca="1" si="5"/>
        <v>-0.26</v>
      </c>
    </row>
    <row r="179" spans="2:24">
      <c r="B179" s="248">
        <v>31</v>
      </c>
      <c r="C179" s="162" t="s">
        <v>1606</v>
      </c>
      <c r="D179" s="162">
        <f ca="1">ROUNDUP((TODAY()-'FUNCTIONS PRACTICE'!$E162)/365.5,0)</f>
        <v>55</v>
      </c>
      <c r="E179" s="249">
        <v>33199</v>
      </c>
      <c r="F179" s="162" t="s">
        <v>1576</v>
      </c>
      <c r="G179" s="162" t="s">
        <v>1648</v>
      </c>
      <c r="H179" s="162" t="s">
        <v>1649</v>
      </c>
      <c r="I179" s="249">
        <v>23749</v>
      </c>
      <c r="J179" s="162" t="s">
        <v>1650</v>
      </c>
      <c r="K179" s="402">
        <v>100</v>
      </c>
      <c r="L179" s="249">
        <v>45016</v>
      </c>
      <c r="M179" s="249">
        <v>45138</v>
      </c>
      <c r="N179" s="249">
        <v>45291</v>
      </c>
      <c r="O179" s="162" t="s">
        <v>1456</v>
      </c>
      <c r="P179" s="162">
        <v>131</v>
      </c>
      <c r="Q179" s="162" t="str">
        <f t="shared" si="4"/>
        <v>(123) 456-7890</v>
      </c>
      <c r="R179" s="375" t="s">
        <v>1445</v>
      </c>
      <c r="S179" s="162" t="s">
        <v>1446</v>
      </c>
      <c r="T179" s="162" t="s">
        <v>1447</v>
      </c>
      <c r="U179" s="162" t="s">
        <v>1448</v>
      </c>
      <c r="V179" s="162" t="s">
        <v>966</v>
      </c>
      <c r="W179" s="162" t="s">
        <v>1450</v>
      </c>
      <c r="X179" s="251">
        <f t="shared" ca="1" si="5"/>
        <v>-0.24000000000000002</v>
      </c>
    </row>
    <row r="180" spans="2:24">
      <c r="B180" s="248">
        <v>32</v>
      </c>
      <c r="C180" s="162" t="s">
        <v>1610</v>
      </c>
      <c r="D180" s="162">
        <f ca="1">ROUNDUP((TODAY()-'FUNCTIONS PRACTICE'!$E194)/365.5,0)</f>
        <v>40</v>
      </c>
      <c r="E180" s="249">
        <v>23812</v>
      </c>
      <c r="F180" s="162" t="s">
        <v>1651</v>
      </c>
      <c r="G180" s="162" t="s">
        <v>1652</v>
      </c>
      <c r="H180" s="162" t="s">
        <v>1653</v>
      </c>
      <c r="I180" s="249">
        <v>20131</v>
      </c>
      <c r="J180" s="162" t="s">
        <v>1545</v>
      </c>
      <c r="K180" s="402">
        <v>1000</v>
      </c>
      <c r="L180" s="249">
        <v>45017</v>
      </c>
      <c r="M180" s="249">
        <v>45261</v>
      </c>
      <c r="N180" s="249">
        <v>45444</v>
      </c>
      <c r="O180" s="162" t="s">
        <v>1444</v>
      </c>
      <c r="P180" s="162">
        <v>132</v>
      </c>
      <c r="Q180" s="162" t="str">
        <f t="shared" si="4"/>
        <v>(234) 567-8901</v>
      </c>
      <c r="R180" s="375" t="s">
        <v>1457</v>
      </c>
      <c r="S180" s="162" t="s">
        <v>1458</v>
      </c>
      <c r="T180" s="162" t="s">
        <v>1459</v>
      </c>
      <c r="U180" s="162" t="s">
        <v>1460</v>
      </c>
      <c r="V180" s="162" t="s">
        <v>1449</v>
      </c>
      <c r="W180" s="162" t="s">
        <v>1547</v>
      </c>
      <c r="X180" s="251">
        <f t="shared" ca="1" si="5"/>
        <v>-0.21000000000000002</v>
      </c>
    </row>
    <row r="181" spans="2:24">
      <c r="B181" s="248">
        <v>33</v>
      </c>
      <c r="C181" s="162" t="s">
        <v>1589</v>
      </c>
      <c r="D181" s="162">
        <f ca="1">ROUNDUP((TODAY()-'FUNCTIONS PRACTICE'!$E178)/365.5,0)</f>
        <v>40</v>
      </c>
      <c r="E181" s="249">
        <v>33222</v>
      </c>
      <c r="F181" s="162" t="s">
        <v>1556</v>
      </c>
      <c r="G181" s="162" t="s">
        <v>1654</v>
      </c>
      <c r="H181" s="162" t="s">
        <v>1655</v>
      </c>
      <c r="I181" s="249">
        <v>22003</v>
      </c>
      <c r="J181" s="162" t="s">
        <v>1552</v>
      </c>
      <c r="K181" s="402">
        <v>150</v>
      </c>
      <c r="L181" s="249">
        <v>45018</v>
      </c>
      <c r="M181" s="249">
        <v>45201</v>
      </c>
      <c r="N181" s="249">
        <v>45353</v>
      </c>
      <c r="O181" s="162" t="s">
        <v>1456</v>
      </c>
      <c r="P181" s="162">
        <v>133</v>
      </c>
      <c r="Q181" s="162" t="str">
        <f t="shared" si="4"/>
        <v>(345) 678-9012</v>
      </c>
      <c r="R181" s="375" t="s">
        <v>1467</v>
      </c>
      <c r="S181" s="162" t="s">
        <v>1468</v>
      </c>
      <c r="T181" s="162" t="s">
        <v>1469</v>
      </c>
      <c r="U181" s="162" t="s">
        <v>1470</v>
      </c>
      <c r="V181" s="162" t="s">
        <v>966</v>
      </c>
      <c r="W181" s="162" t="s">
        <v>1554</v>
      </c>
      <c r="X181" s="251">
        <f t="shared" ca="1" si="5"/>
        <v>-0.21000000000000002</v>
      </c>
    </row>
    <row r="182" spans="2:24">
      <c r="B182" s="248">
        <v>34</v>
      </c>
      <c r="C182" s="162" t="s">
        <v>1522</v>
      </c>
      <c r="D182" s="162">
        <f ca="1">ROUNDUP((TODAY()-'FUNCTIONS PRACTICE'!$E172)/365.5,0)</f>
        <v>60</v>
      </c>
      <c r="E182" s="249">
        <v>31264</v>
      </c>
      <c r="F182" s="162" t="s">
        <v>1641</v>
      </c>
      <c r="G182" s="162" t="s">
        <v>1656</v>
      </c>
      <c r="H182" s="162" t="s">
        <v>1657</v>
      </c>
      <c r="I182" s="249">
        <v>25673</v>
      </c>
      <c r="J182" s="162" t="s">
        <v>1623</v>
      </c>
      <c r="K182" s="402">
        <v>800</v>
      </c>
      <c r="L182" s="249">
        <v>45019</v>
      </c>
      <c r="M182" s="249">
        <v>45172</v>
      </c>
      <c r="N182" s="249">
        <v>45325</v>
      </c>
      <c r="O182" s="162" t="s">
        <v>1444</v>
      </c>
      <c r="P182" s="162">
        <v>134</v>
      </c>
      <c r="Q182" s="162" t="str">
        <f t="shared" si="4"/>
        <v>(456) 789-0123</v>
      </c>
      <c r="R182" s="375" t="s">
        <v>1478</v>
      </c>
      <c r="S182" s="162" t="s">
        <v>1479</v>
      </c>
      <c r="T182" s="162" t="s">
        <v>1480</v>
      </c>
      <c r="U182" s="162" t="s">
        <v>1481</v>
      </c>
      <c r="V182" s="162" t="s">
        <v>1449</v>
      </c>
      <c r="W182" s="162" t="s">
        <v>1624</v>
      </c>
      <c r="X182" s="251">
        <f t="shared" ca="1" si="5"/>
        <v>-0.22</v>
      </c>
    </row>
    <row r="183" spans="2:24">
      <c r="B183" s="248">
        <v>35</v>
      </c>
      <c r="C183" s="162" t="s">
        <v>1568</v>
      </c>
      <c r="D183" s="162">
        <f ca="1">ROUNDUP((TODAY()-'FUNCTIONS PRACTICE'!$E186)/365.5,0)</f>
        <v>46</v>
      </c>
      <c r="E183" s="249">
        <v>34748</v>
      </c>
      <c r="F183" s="162" t="s">
        <v>1569</v>
      </c>
      <c r="G183" s="162" t="s">
        <v>1658</v>
      </c>
      <c r="H183" s="162" t="s">
        <v>1659</v>
      </c>
      <c r="I183" s="249">
        <v>27405</v>
      </c>
      <c r="J183" s="162" t="s">
        <v>1629</v>
      </c>
      <c r="K183" s="402">
        <v>300</v>
      </c>
      <c r="L183" s="249">
        <v>45020</v>
      </c>
      <c r="M183" s="249">
        <v>45234</v>
      </c>
      <c r="N183" s="249">
        <v>45447</v>
      </c>
      <c r="O183" s="162" t="s">
        <v>1456</v>
      </c>
      <c r="P183" s="162">
        <v>135</v>
      </c>
      <c r="Q183" s="162" t="str">
        <f t="shared" si="4"/>
        <v>(567) 890-1234</v>
      </c>
      <c r="R183" s="375" t="s">
        <v>1488</v>
      </c>
      <c r="S183" s="162" t="s">
        <v>1489</v>
      </c>
      <c r="T183" s="162" t="s">
        <v>1490</v>
      </c>
      <c r="U183" s="162" t="s">
        <v>1560</v>
      </c>
      <c r="V183" s="162" t="s">
        <v>966</v>
      </c>
      <c r="W183" s="162" t="s">
        <v>1630</v>
      </c>
      <c r="X183" s="251">
        <f t="shared" ca="1" si="5"/>
        <v>-0.27</v>
      </c>
    </row>
    <row r="184" spans="2:24">
      <c r="B184" s="248">
        <v>36</v>
      </c>
      <c r="C184" s="162" t="s">
        <v>1575</v>
      </c>
      <c r="D184" s="162">
        <f ca="1">ROUNDUP((TODAY()-'FUNCTIONS PRACTICE'!$E179)/365.5,0)</f>
        <v>35</v>
      </c>
      <c r="E184" s="249">
        <v>23857</v>
      </c>
      <c r="F184" s="162" t="s">
        <v>1576</v>
      </c>
      <c r="G184" s="162" t="s">
        <v>1660</v>
      </c>
      <c r="H184" s="162" t="s">
        <v>1661</v>
      </c>
      <c r="I184" s="249">
        <v>22140</v>
      </c>
      <c r="J184" s="162" t="s">
        <v>1535</v>
      </c>
      <c r="K184" s="402">
        <v>300</v>
      </c>
      <c r="L184" s="249">
        <v>45021</v>
      </c>
      <c r="M184" s="249">
        <v>45204</v>
      </c>
      <c r="N184" s="249">
        <v>45448</v>
      </c>
      <c r="O184" s="162" t="s">
        <v>1444</v>
      </c>
      <c r="P184" s="162">
        <v>136</v>
      </c>
      <c r="Q184" s="162" t="str">
        <f t="shared" si="4"/>
        <v>(678) 901-2345</v>
      </c>
      <c r="R184" s="375" t="s">
        <v>1498</v>
      </c>
      <c r="S184" s="162" t="s">
        <v>1499</v>
      </c>
      <c r="T184" s="162" t="s">
        <v>1500</v>
      </c>
      <c r="U184" s="162" t="s">
        <v>1491</v>
      </c>
      <c r="V184" s="162" t="s">
        <v>1449</v>
      </c>
      <c r="W184" s="162" t="s">
        <v>1540</v>
      </c>
      <c r="X184" s="251">
        <f t="shared" ca="1" si="5"/>
        <v>-0.27</v>
      </c>
    </row>
    <row r="185" spans="2:24">
      <c r="B185" s="248">
        <v>37</v>
      </c>
      <c r="C185" s="162" t="s">
        <v>1502</v>
      </c>
      <c r="D185" s="162">
        <f ca="1">ROUNDUP((TODAY()-'FUNCTIONS PRACTICE'!$E203)/365.5,0)</f>
        <v>40</v>
      </c>
      <c r="E185" s="249">
        <v>27645</v>
      </c>
      <c r="F185" s="162" t="s">
        <v>1503</v>
      </c>
      <c r="G185" s="162" t="s">
        <v>1662</v>
      </c>
      <c r="H185" s="162" t="s">
        <v>1663</v>
      </c>
      <c r="I185" s="249">
        <v>23898</v>
      </c>
      <c r="J185" s="162" t="s">
        <v>1516</v>
      </c>
      <c r="K185" s="402">
        <v>500</v>
      </c>
      <c r="L185" s="249">
        <v>45022</v>
      </c>
      <c r="M185" s="249">
        <v>45357</v>
      </c>
      <c r="N185" s="249">
        <v>45571</v>
      </c>
      <c r="O185" s="162" t="s">
        <v>1456</v>
      </c>
      <c r="P185" s="162">
        <v>137</v>
      </c>
      <c r="Q185" s="162" t="str">
        <f t="shared" si="4"/>
        <v>(789) 012-3456</v>
      </c>
      <c r="R185" s="375" t="s">
        <v>1507</v>
      </c>
      <c r="S185" s="162" t="s">
        <v>1508</v>
      </c>
      <c r="T185" s="162" t="s">
        <v>1509</v>
      </c>
      <c r="U185" s="162" t="s">
        <v>1501</v>
      </c>
      <c r="V185" s="162" t="s">
        <v>1471</v>
      </c>
      <c r="W185" s="162" t="s">
        <v>1521</v>
      </c>
      <c r="X185" s="251">
        <f t="shared" ca="1" si="5"/>
        <v>-0.28000000000000003</v>
      </c>
    </row>
    <row r="186" spans="2:24">
      <c r="B186" s="248">
        <v>38</v>
      </c>
      <c r="C186" s="162" t="s">
        <v>1512</v>
      </c>
      <c r="D186" s="162">
        <f ca="1">ROUNDUP((TODAY()-'FUNCTIONS PRACTICE'!$E163)/365.5,0)</f>
        <v>35</v>
      </c>
      <c r="E186" s="249">
        <v>29234</v>
      </c>
      <c r="F186" s="162" t="s">
        <v>1513</v>
      </c>
      <c r="G186" s="162" t="s">
        <v>1664</v>
      </c>
      <c r="H186" s="162" t="s">
        <v>1665</v>
      </c>
      <c r="I186" s="249">
        <v>23998</v>
      </c>
      <c r="J186" s="162" t="s">
        <v>1443</v>
      </c>
      <c r="K186" s="402">
        <v>200</v>
      </c>
      <c r="L186" s="249">
        <v>45023</v>
      </c>
      <c r="M186" s="249">
        <v>45145</v>
      </c>
      <c r="N186" s="249">
        <v>45358</v>
      </c>
      <c r="O186" s="162" t="s">
        <v>1444</v>
      </c>
      <c r="P186" s="162">
        <v>138</v>
      </c>
      <c r="Q186" s="162" t="str">
        <f t="shared" si="4"/>
        <v>(890) 123-4567</v>
      </c>
      <c r="R186" s="375" t="s">
        <v>1517</v>
      </c>
      <c r="S186" s="162" t="s">
        <v>1518</v>
      </c>
      <c r="T186" s="162" t="s">
        <v>1519</v>
      </c>
      <c r="U186" s="162" t="s">
        <v>1573</v>
      </c>
      <c r="V186" s="162" t="s">
        <v>1449</v>
      </c>
      <c r="W186" s="162" t="s">
        <v>1450</v>
      </c>
      <c r="X186" s="251">
        <f t="shared" ca="1" si="5"/>
        <v>-0.28000000000000003</v>
      </c>
    </row>
    <row r="187" spans="2:24">
      <c r="B187" s="248">
        <v>39</v>
      </c>
      <c r="C187" s="162" t="s">
        <v>1522</v>
      </c>
      <c r="D187" s="162">
        <f ca="1">ROUNDUP((TODAY()-'FUNCTIONS PRACTICE'!$E205)/365.5,0)</f>
        <v>40</v>
      </c>
      <c r="E187" s="249">
        <v>36849</v>
      </c>
      <c r="F187" s="162" t="s">
        <v>1523</v>
      </c>
      <c r="G187" s="162" t="s">
        <v>1666</v>
      </c>
      <c r="H187" s="162" t="s">
        <v>1667</v>
      </c>
      <c r="I187" s="249">
        <v>22211</v>
      </c>
      <c r="J187" s="162" t="s">
        <v>1455</v>
      </c>
      <c r="K187" s="402">
        <v>1500</v>
      </c>
      <c r="L187" s="249">
        <v>45024</v>
      </c>
      <c r="M187" s="249">
        <v>45359</v>
      </c>
      <c r="N187" s="249">
        <v>45573</v>
      </c>
      <c r="O187" s="162" t="s">
        <v>1456</v>
      </c>
      <c r="P187" s="162">
        <v>139</v>
      </c>
      <c r="Q187" s="162" t="str">
        <f t="shared" si="4"/>
        <v>(901) 234-5678</v>
      </c>
      <c r="R187" s="375" t="s">
        <v>1527</v>
      </c>
      <c r="S187" s="162" t="s">
        <v>1528</v>
      </c>
      <c r="T187" s="162" t="s">
        <v>1529</v>
      </c>
      <c r="U187" s="162" t="s">
        <v>1580</v>
      </c>
      <c r="V187" s="162" t="s">
        <v>966</v>
      </c>
      <c r="W187" s="162" t="s">
        <v>1492</v>
      </c>
      <c r="X187" s="251">
        <f t="shared" ca="1" si="5"/>
        <v>-0.3</v>
      </c>
    </row>
    <row r="188" spans="2:24">
      <c r="B188" s="248">
        <v>40</v>
      </c>
      <c r="C188" s="162" t="s">
        <v>1531</v>
      </c>
      <c r="D188" s="162">
        <f ca="1">ROUNDUP((TODAY()-'FUNCTIONS PRACTICE'!$E196)/365.5,0)</f>
        <v>46</v>
      </c>
      <c r="E188" s="249">
        <v>32915</v>
      </c>
      <c r="F188" s="162" t="s">
        <v>1532</v>
      </c>
      <c r="G188" s="162" t="s">
        <v>1668</v>
      </c>
      <c r="H188" s="162" t="s">
        <v>1669</v>
      </c>
      <c r="I188" s="249">
        <v>25676</v>
      </c>
      <c r="J188" s="162" t="s">
        <v>1646</v>
      </c>
      <c r="K188" s="402">
        <v>800</v>
      </c>
      <c r="L188" s="249">
        <v>45025</v>
      </c>
      <c r="M188" s="249">
        <v>45269</v>
      </c>
      <c r="N188" s="249">
        <v>45421</v>
      </c>
      <c r="O188" s="162" t="s">
        <v>1444</v>
      </c>
      <c r="P188" s="162">
        <v>140</v>
      </c>
      <c r="Q188" s="162" t="str">
        <f t="shared" si="4"/>
        <v>(012) 345-6789</v>
      </c>
      <c r="R188" s="375" t="s">
        <v>1536</v>
      </c>
      <c r="S188" s="162" t="s">
        <v>1537</v>
      </c>
      <c r="T188" s="162" t="s">
        <v>1538</v>
      </c>
      <c r="U188" s="162" t="s">
        <v>1520</v>
      </c>
      <c r="V188" s="162" t="s">
        <v>1449</v>
      </c>
      <c r="W188" s="162" t="s">
        <v>1647</v>
      </c>
      <c r="X188" s="251">
        <f t="shared" ca="1" si="5"/>
        <v>-0.33</v>
      </c>
    </row>
    <row r="189" spans="2:24">
      <c r="B189" s="248">
        <v>41</v>
      </c>
      <c r="C189" s="162" t="s">
        <v>1541</v>
      </c>
      <c r="D189" s="162">
        <f ca="1">ROUNDUP((TODAY()-'FUNCTIONS PRACTICE'!$E165)/365.5,0)</f>
        <v>25</v>
      </c>
      <c r="E189" s="249">
        <v>27631</v>
      </c>
      <c r="F189" s="162" t="s">
        <v>1542</v>
      </c>
      <c r="G189" s="162" t="s">
        <v>1670</v>
      </c>
      <c r="H189" s="162" t="s">
        <v>1671</v>
      </c>
      <c r="I189" s="249">
        <v>23938</v>
      </c>
      <c r="J189" s="162" t="s">
        <v>1650</v>
      </c>
      <c r="K189" s="402">
        <v>100</v>
      </c>
      <c r="L189" s="249">
        <v>45026</v>
      </c>
      <c r="M189" s="249">
        <v>45148</v>
      </c>
      <c r="N189" s="249">
        <v>45361</v>
      </c>
      <c r="O189" s="162" t="s">
        <v>1456</v>
      </c>
      <c r="P189" s="162">
        <v>141</v>
      </c>
      <c r="Q189" s="162" t="str">
        <f t="shared" si="4"/>
        <v>(123) 456-7890</v>
      </c>
      <c r="R189" s="375" t="s">
        <v>1445</v>
      </c>
      <c r="S189" s="162" t="s">
        <v>1446</v>
      </c>
      <c r="T189" s="162" t="s">
        <v>1447</v>
      </c>
      <c r="U189" s="162" t="s">
        <v>1530</v>
      </c>
      <c r="V189" s="162" t="s">
        <v>966</v>
      </c>
      <c r="W189" s="162" t="s">
        <v>1450</v>
      </c>
      <c r="X189" s="251">
        <f t="shared" ca="1" si="5"/>
        <v>-0.35000000000000003</v>
      </c>
    </row>
    <row r="190" spans="2:24">
      <c r="B190" s="248">
        <v>42</v>
      </c>
      <c r="C190" s="162" t="s">
        <v>1548</v>
      </c>
      <c r="D190" s="162">
        <f ca="1">ROUNDUP((TODAY()-'FUNCTIONS PRACTICE'!$E182)/365.5,0)</f>
        <v>40</v>
      </c>
      <c r="E190" s="249">
        <v>31140</v>
      </c>
      <c r="F190" s="162" t="s">
        <v>1549</v>
      </c>
      <c r="G190" s="162" t="s">
        <v>1672</v>
      </c>
      <c r="H190" s="162" t="s">
        <v>1673</v>
      </c>
      <c r="I190" s="249">
        <v>20416</v>
      </c>
      <c r="J190" s="162" t="s">
        <v>1545</v>
      </c>
      <c r="K190" s="402">
        <v>1000</v>
      </c>
      <c r="L190" s="249">
        <v>45027</v>
      </c>
      <c r="M190" s="249">
        <v>45210</v>
      </c>
      <c r="N190" s="249">
        <v>45454</v>
      </c>
      <c r="O190" s="162" t="s">
        <v>1444</v>
      </c>
      <c r="P190" s="162">
        <v>142</v>
      </c>
      <c r="Q190" s="162" t="str">
        <f t="shared" si="4"/>
        <v>(234) 567-8901</v>
      </c>
      <c r="R190" s="375" t="s">
        <v>1457</v>
      </c>
      <c r="S190" s="162" t="s">
        <v>1458</v>
      </c>
      <c r="T190" s="162" t="s">
        <v>1459</v>
      </c>
      <c r="U190" s="162" t="s">
        <v>1539</v>
      </c>
      <c r="V190" s="162" t="s">
        <v>1449</v>
      </c>
      <c r="W190" s="162" t="s">
        <v>1547</v>
      </c>
      <c r="X190" s="251">
        <f t="shared" ca="1" si="5"/>
        <v>-0.43</v>
      </c>
    </row>
    <row r="191" spans="2:24">
      <c r="B191" s="248">
        <v>43</v>
      </c>
      <c r="C191" s="162" t="s">
        <v>1555</v>
      </c>
      <c r="D191" s="162">
        <f ca="1">ROUNDUP((TODAY()-'FUNCTIONS PRACTICE'!$E198)/365.5,0)</f>
        <v>30</v>
      </c>
      <c r="E191" s="249">
        <v>38485</v>
      </c>
      <c r="F191" s="162" t="s">
        <v>1556</v>
      </c>
      <c r="G191" s="162" t="s">
        <v>1674</v>
      </c>
      <c r="H191" s="162" t="s">
        <v>1675</v>
      </c>
      <c r="I191" s="249">
        <v>22084</v>
      </c>
      <c r="J191" s="162" t="s">
        <v>1552</v>
      </c>
      <c r="K191" s="402">
        <v>150</v>
      </c>
      <c r="L191" s="249">
        <v>45028</v>
      </c>
      <c r="M191" s="249">
        <v>45272</v>
      </c>
      <c r="N191" s="249">
        <v>45455</v>
      </c>
      <c r="O191" s="162" t="s">
        <v>1456</v>
      </c>
      <c r="P191" s="162">
        <v>143</v>
      </c>
      <c r="Q191" s="162" t="str">
        <f t="shared" si="4"/>
        <v>(345) 678-9012</v>
      </c>
      <c r="R191" s="375" t="s">
        <v>1467</v>
      </c>
      <c r="S191" s="162" t="s">
        <v>1468</v>
      </c>
      <c r="T191" s="162" t="s">
        <v>1469</v>
      </c>
      <c r="U191" s="162" t="s">
        <v>1546</v>
      </c>
      <c r="V191" s="162" t="s">
        <v>966</v>
      </c>
      <c r="W191" s="162" t="s">
        <v>1554</v>
      </c>
      <c r="X191" s="251">
        <f t="shared" ca="1" si="5"/>
        <v>-0.44</v>
      </c>
    </row>
    <row r="192" spans="2:24">
      <c r="B192" s="248">
        <v>44</v>
      </c>
      <c r="C192" s="162" t="s">
        <v>1562</v>
      </c>
      <c r="D192" s="162">
        <f ca="1">ROUNDUP((TODAY()-'FUNCTIONS PRACTICE'!$E158)/365.5,0)</f>
        <v>35</v>
      </c>
      <c r="E192" s="249">
        <v>25618</v>
      </c>
      <c r="F192" s="162" t="s">
        <v>1563</v>
      </c>
      <c r="G192" s="162" t="s">
        <v>1676</v>
      </c>
      <c r="H192" s="162" t="s">
        <v>1677</v>
      </c>
      <c r="I192" s="249">
        <v>25836</v>
      </c>
      <c r="J192" s="162" t="s">
        <v>1559</v>
      </c>
      <c r="K192" s="402">
        <v>200</v>
      </c>
      <c r="L192" s="249">
        <v>45029</v>
      </c>
      <c r="M192" s="249">
        <v>45120</v>
      </c>
      <c r="N192" s="249">
        <v>45273</v>
      </c>
      <c r="O192" s="162" t="s">
        <v>1444</v>
      </c>
      <c r="P192" s="162">
        <v>144</v>
      </c>
      <c r="Q192" s="162" t="str">
        <f t="shared" si="4"/>
        <v>(456) 789-0123</v>
      </c>
      <c r="R192" s="375" t="s">
        <v>1478</v>
      </c>
      <c r="S192" s="162" t="s">
        <v>1479</v>
      </c>
      <c r="T192" s="162" t="s">
        <v>1480</v>
      </c>
      <c r="U192" s="162" t="s">
        <v>1470</v>
      </c>
      <c r="V192" s="162" t="s">
        <v>1449</v>
      </c>
      <c r="W192" s="162" t="s">
        <v>1561</v>
      </c>
      <c r="X192" s="251">
        <f t="shared" ca="1" si="5"/>
        <v>-0.5</v>
      </c>
    </row>
    <row r="193" spans="2:24">
      <c r="B193" s="248">
        <v>45</v>
      </c>
      <c r="C193" s="162" t="s">
        <v>1568</v>
      </c>
      <c r="D193" s="162">
        <f ca="1">ROUNDUP((TODAY()-'FUNCTIONS PRACTICE'!$E173)/365.5,0)</f>
        <v>35</v>
      </c>
      <c r="E193" s="249">
        <v>32876</v>
      </c>
      <c r="F193" s="162" t="s">
        <v>1569</v>
      </c>
      <c r="G193" s="162" t="s">
        <v>1678</v>
      </c>
      <c r="H193" s="162" t="s">
        <v>1679</v>
      </c>
      <c r="I193" s="249">
        <v>22048</v>
      </c>
      <c r="J193" s="162" t="s">
        <v>1566</v>
      </c>
      <c r="K193" s="402">
        <v>400</v>
      </c>
      <c r="L193" s="249">
        <v>45030</v>
      </c>
      <c r="M193" s="249">
        <v>45183</v>
      </c>
      <c r="N193" s="249">
        <v>45336</v>
      </c>
      <c r="O193" s="162" t="s">
        <v>1456</v>
      </c>
      <c r="P193" s="162">
        <v>145</v>
      </c>
      <c r="Q193" s="162" t="str">
        <f t="shared" si="4"/>
        <v>(567) 890-1234</v>
      </c>
      <c r="R193" s="375" t="s">
        <v>1488</v>
      </c>
      <c r="S193" s="162" t="s">
        <v>1489</v>
      </c>
      <c r="T193" s="162" t="s">
        <v>1490</v>
      </c>
      <c r="U193" s="162" t="s">
        <v>1553</v>
      </c>
      <c r="V193" s="162" t="s">
        <v>966</v>
      </c>
      <c r="W193" s="162" t="s">
        <v>1540</v>
      </c>
      <c r="X193" s="251">
        <f t="shared" ca="1" si="5"/>
        <v>-0.53</v>
      </c>
    </row>
    <row r="194" spans="2:24">
      <c r="B194" s="248">
        <v>46</v>
      </c>
      <c r="C194" s="162" t="s">
        <v>1575</v>
      </c>
      <c r="D194" s="162">
        <f ca="1">ROUNDUP((TODAY()-'FUNCTIONS PRACTICE'!$E167)/365.5,0)</f>
        <v>55</v>
      </c>
      <c r="E194" s="249">
        <v>31209</v>
      </c>
      <c r="F194" s="162" t="s">
        <v>1576</v>
      </c>
      <c r="G194" s="162" t="s">
        <v>1680</v>
      </c>
      <c r="H194" s="162" t="s">
        <v>1681</v>
      </c>
      <c r="I194" s="249">
        <v>23928</v>
      </c>
      <c r="J194" s="162" t="s">
        <v>1572</v>
      </c>
      <c r="K194" s="402">
        <v>100</v>
      </c>
      <c r="L194" s="249">
        <v>45031</v>
      </c>
      <c r="M194" s="249">
        <v>45153</v>
      </c>
      <c r="N194" s="249">
        <v>45275</v>
      </c>
      <c r="O194" s="162" t="s">
        <v>1444</v>
      </c>
      <c r="P194" s="162">
        <v>146</v>
      </c>
      <c r="Q194" s="162" t="str">
        <f t="shared" si="4"/>
        <v>(678) 901-2345</v>
      </c>
      <c r="R194" s="375" t="s">
        <v>1498</v>
      </c>
      <c r="S194" s="162" t="s">
        <v>1499</v>
      </c>
      <c r="T194" s="162" t="s">
        <v>1500</v>
      </c>
      <c r="U194" s="162" t="s">
        <v>1481</v>
      </c>
      <c r="V194" s="162" t="s">
        <v>1449</v>
      </c>
      <c r="W194" s="162" t="s">
        <v>1574</v>
      </c>
      <c r="X194" s="251">
        <f t="shared" ca="1" si="5"/>
        <v>-0.54</v>
      </c>
    </row>
    <row r="195" spans="2:24">
      <c r="B195" s="248">
        <v>47</v>
      </c>
      <c r="C195" s="162" t="s">
        <v>1502</v>
      </c>
      <c r="D195" s="162">
        <f ca="1">ROUNDUP((TODAY()-'FUNCTIONS PRACTICE'!$E184)/365.5,0)</f>
        <v>60</v>
      </c>
      <c r="E195" s="249">
        <v>27665</v>
      </c>
      <c r="F195" s="162" t="s">
        <v>1503</v>
      </c>
      <c r="G195" s="162" t="s">
        <v>1682</v>
      </c>
      <c r="H195" s="162" t="s">
        <v>1683</v>
      </c>
      <c r="I195" s="249">
        <v>22230</v>
      </c>
      <c r="J195" s="162" t="s">
        <v>1579</v>
      </c>
      <c r="K195" s="402">
        <v>80</v>
      </c>
      <c r="L195" s="249">
        <v>45032</v>
      </c>
      <c r="M195" s="249">
        <v>45215</v>
      </c>
      <c r="N195" s="249">
        <v>45428</v>
      </c>
      <c r="O195" s="162" t="s">
        <v>1456</v>
      </c>
      <c r="P195" s="162">
        <v>147</v>
      </c>
      <c r="Q195" s="162" t="str">
        <f t="shared" si="4"/>
        <v>(789) 012-3456</v>
      </c>
      <c r="R195" s="375" t="s">
        <v>1507</v>
      </c>
      <c r="S195" s="162" t="s">
        <v>1508</v>
      </c>
      <c r="T195" s="162" t="s">
        <v>1509</v>
      </c>
      <c r="U195" s="162" t="s">
        <v>1560</v>
      </c>
      <c r="V195" s="162" t="s">
        <v>1471</v>
      </c>
      <c r="W195" s="162" t="s">
        <v>1450</v>
      </c>
      <c r="X195" s="251">
        <f t="shared" ca="1" si="5"/>
        <v>-0.52</v>
      </c>
    </row>
    <row r="196" spans="2:24">
      <c r="B196" s="248">
        <v>48</v>
      </c>
      <c r="C196" s="162" t="s">
        <v>1512</v>
      </c>
      <c r="D196" s="162">
        <f ca="1">ROUNDUP((TODAY()-'FUNCTIONS PRACTICE'!$E168)/365.5,0)</f>
        <v>45</v>
      </c>
      <c r="E196" s="249">
        <v>29256</v>
      </c>
      <c r="F196" s="162" t="s">
        <v>1513</v>
      </c>
      <c r="G196" s="162" t="s">
        <v>1684</v>
      </c>
      <c r="H196" s="162" t="s">
        <v>1685</v>
      </c>
      <c r="I196" s="249">
        <v>25620</v>
      </c>
      <c r="J196" s="162" t="s">
        <v>1585</v>
      </c>
      <c r="K196" s="402">
        <v>600</v>
      </c>
      <c r="L196" s="249">
        <v>45033</v>
      </c>
      <c r="M196" s="249">
        <v>45155</v>
      </c>
      <c r="N196" s="249">
        <v>45339</v>
      </c>
      <c r="O196" s="162" t="s">
        <v>1444</v>
      </c>
      <c r="P196" s="162">
        <v>148</v>
      </c>
      <c r="Q196" s="162" t="str">
        <f t="shared" si="4"/>
        <v>(890) 123-4567</v>
      </c>
      <c r="R196" s="375" t="s">
        <v>1517</v>
      </c>
      <c r="S196" s="162" t="s">
        <v>1518</v>
      </c>
      <c r="T196" s="162" t="s">
        <v>1519</v>
      </c>
      <c r="U196" s="162" t="s">
        <v>1491</v>
      </c>
      <c r="V196" s="162" t="s">
        <v>1449</v>
      </c>
      <c r="W196" s="162" t="s">
        <v>1587</v>
      </c>
      <c r="X196" s="251">
        <f t="shared" ca="1" si="5"/>
        <v>-0.47000000000000003</v>
      </c>
    </row>
    <row r="197" spans="2:24">
      <c r="B197" s="248">
        <v>49</v>
      </c>
      <c r="C197" s="162" t="s">
        <v>1522</v>
      </c>
      <c r="D197" s="162">
        <f ca="1">ROUNDUP((TODAY()-'FUNCTIONS PRACTICE'!$E206)/365.5,0)</f>
        <v>55</v>
      </c>
      <c r="E197" s="249">
        <v>36725</v>
      </c>
      <c r="F197" s="162" t="s">
        <v>1523</v>
      </c>
      <c r="G197" s="162" t="s">
        <v>1686</v>
      </c>
      <c r="H197" s="162" t="s">
        <v>1687</v>
      </c>
      <c r="I197" s="249">
        <v>21986</v>
      </c>
      <c r="J197" s="162" t="s">
        <v>1516</v>
      </c>
      <c r="K197" s="402">
        <v>500</v>
      </c>
      <c r="L197" s="249">
        <v>45034</v>
      </c>
      <c r="M197" s="249">
        <v>45309</v>
      </c>
      <c r="N197" s="249">
        <v>45461</v>
      </c>
      <c r="O197" s="162" t="s">
        <v>1456</v>
      </c>
      <c r="P197" s="162">
        <v>149</v>
      </c>
      <c r="Q197" s="162" t="str">
        <f t="shared" si="4"/>
        <v>(901) 234-5678</v>
      </c>
      <c r="R197" s="375" t="s">
        <v>1527</v>
      </c>
      <c r="S197" s="162" t="s">
        <v>1528</v>
      </c>
      <c r="T197" s="162" t="s">
        <v>1529</v>
      </c>
      <c r="U197" s="162" t="s">
        <v>1501</v>
      </c>
      <c r="V197" s="162" t="s">
        <v>1471</v>
      </c>
      <c r="W197" s="162" t="s">
        <v>1521</v>
      </c>
      <c r="X197" s="251">
        <f t="shared" ca="1" si="5"/>
        <v>-0.48</v>
      </c>
    </row>
    <row r="198" spans="2:24">
      <c r="B198" s="248">
        <v>50</v>
      </c>
      <c r="C198" s="162" t="s">
        <v>1531</v>
      </c>
      <c r="D198" s="162">
        <f ca="1">ROUNDUP((TODAY()-'FUNCTIONS PRACTICE'!$E207)/365.5,0)</f>
        <v>20</v>
      </c>
      <c r="E198" s="249">
        <v>34810</v>
      </c>
      <c r="F198" s="162" t="s">
        <v>1532</v>
      </c>
      <c r="G198" s="162" t="s">
        <v>1688</v>
      </c>
      <c r="H198" s="162" t="s">
        <v>1486</v>
      </c>
      <c r="I198" s="249">
        <v>25790</v>
      </c>
      <c r="J198" s="162" t="s">
        <v>1597</v>
      </c>
      <c r="K198" s="402">
        <v>900</v>
      </c>
      <c r="L198" s="249">
        <v>45035</v>
      </c>
      <c r="M198" s="249">
        <v>45341</v>
      </c>
      <c r="N198" s="249">
        <v>45554</v>
      </c>
      <c r="O198" s="162" t="s">
        <v>1444</v>
      </c>
      <c r="P198" s="162">
        <v>150</v>
      </c>
      <c r="Q198" s="162" t="str">
        <f t="shared" si="4"/>
        <v>(012) 345-6789</v>
      </c>
      <c r="R198" s="375" t="s">
        <v>1536</v>
      </c>
      <c r="S198" s="162" t="s">
        <v>1537</v>
      </c>
      <c r="T198" s="162" t="s">
        <v>1538</v>
      </c>
      <c r="U198" s="162" t="s">
        <v>1573</v>
      </c>
      <c r="V198" s="162" t="s">
        <v>1449</v>
      </c>
      <c r="W198" s="162" t="s">
        <v>1598</v>
      </c>
      <c r="X198" s="251">
        <f t="shared" ca="1" si="5"/>
        <v>-0.49</v>
      </c>
    </row>
    <row r="199" spans="2:24">
      <c r="B199" s="248">
        <v>51</v>
      </c>
      <c r="C199" s="162" t="s">
        <v>1541</v>
      </c>
      <c r="D199" s="162">
        <f ca="1">ROUNDUP((TODAY()-'FUNCTIONS PRACTICE'!$E200)/365.5,0)</f>
        <v>25</v>
      </c>
      <c r="E199" s="249">
        <v>23907</v>
      </c>
      <c r="F199" s="162" t="s">
        <v>1542</v>
      </c>
      <c r="G199" s="162" t="s">
        <v>1689</v>
      </c>
      <c r="H199" s="162" t="s">
        <v>1690</v>
      </c>
      <c r="I199" s="249">
        <v>27685</v>
      </c>
      <c r="J199" s="162" t="s">
        <v>1603</v>
      </c>
      <c r="K199" s="402">
        <v>700</v>
      </c>
      <c r="L199" s="249">
        <v>45036</v>
      </c>
      <c r="M199" s="249">
        <v>45280</v>
      </c>
      <c r="N199" s="249">
        <v>45463</v>
      </c>
      <c r="O199" s="162" t="s">
        <v>1456</v>
      </c>
      <c r="P199" s="162">
        <v>151</v>
      </c>
      <c r="Q199" s="162" t="str">
        <f t="shared" si="4"/>
        <v>(123) 456-7890</v>
      </c>
      <c r="R199" s="375" t="s">
        <v>1445</v>
      </c>
      <c r="S199" s="162" t="s">
        <v>1446</v>
      </c>
      <c r="T199" s="162" t="s">
        <v>1447</v>
      </c>
      <c r="U199" s="162" t="s">
        <v>1580</v>
      </c>
      <c r="V199" s="162" t="s">
        <v>966</v>
      </c>
      <c r="W199" s="162" t="s">
        <v>1604</v>
      </c>
      <c r="X199" s="251">
        <f t="shared" ca="1" si="5"/>
        <v>-0.43</v>
      </c>
    </row>
    <row r="200" spans="2:24">
      <c r="B200" s="248">
        <v>52</v>
      </c>
      <c r="C200" s="162" t="s">
        <v>1548</v>
      </c>
      <c r="D200" s="162">
        <f ca="1">ROUNDUP((TODAY()-'FUNCTIONS PRACTICE'!$E175)/365.5,0)</f>
        <v>60</v>
      </c>
      <c r="E200" s="249">
        <v>36799</v>
      </c>
      <c r="F200" s="162" t="s">
        <v>1549</v>
      </c>
      <c r="G200" s="162" t="s">
        <v>1691</v>
      </c>
      <c r="H200" s="162" t="s">
        <v>1692</v>
      </c>
      <c r="I200" s="249">
        <v>22053</v>
      </c>
      <c r="J200" s="162" t="s">
        <v>1443</v>
      </c>
      <c r="K200" s="402">
        <v>200</v>
      </c>
      <c r="L200" s="249">
        <v>45037</v>
      </c>
      <c r="M200" s="249">
        <v>45190</v>
      </c>
      <c r="N200" s="249">
        <v>45372</v>
      </c>
      <c r="O200" s="162" t="s">
        <v>1444</v>
      </c>
      <c r="P200" s="162">
        <v>152</v>
      </c>
      <c r="Q200" s="162" t="str">
        <f t="shared" si="4"/>
        <v>(234) 567-8901</v>
      </c>
      <c r="R200" s="375" t="s">
        <v>1457</v>
      </c>
      <c r="S200" s="162" t="s">
        <v>1458</v>
      </c>
      <c r="T200" s="162" t="s">
        <v>1459</v>
      </c>
      <c r="U200" s="162" t="s">
        <v>1520</v>
      </c>
      <c r="V200" s="162" t="s">
        <v>1449</v>
      </c>
      <c r="W200" s="162" t="s">
        <v>1450</v>
      </c>
      <c r="X200" s="251">
        <f t="shared" ca="1" si="5"/>
        <v>-0.41000000000000003</v>
      </c>
    </row>
    <row r="201" spans="2:24">
      <c r="B201" s="248">
        <v>53</v>
      </c>
      <c r="C201" s="162" t="s">
        <v>1555</v>
      </c>
      <c r="D201" s="162">
        <f ca="1">ROUNDUP((TODAY()-'FUNCTIONS PRACTICE'!$E190)/365.5,0)</f>
        <v>40</v>
      </c>
      <c r="E201" s="249">
        <v>31408</v>
      </c>
      <c r="F201" s="162" t="s">
        <v>1556</v>
      </c>
      <c r="G201" s="162" t="s">
        <v>1693</v>
      </c>
      <c r="H201" s="162" t="s">
        <v>1694</v>
      </c>
      <c r="I201" s="249">
        <v>23786</v>
      </c>
      <c r="J201" s="162" t="s">
        <v>1613</v>
      </c>
      <c r="K201" s="402">
        <v>1500</v>
      </c>
      <c r="L201" s="249">
        <v>45038</v>
      </c>
      <c r="M201" s="249">
        <v>45252</v>
      </c>
      <c r="N201" s="249">
        <v>45434</v>
      </c>
      <c r="O201" s="162" t="s">
        <v>1456</v>
      </c>
      <c r="P201" s="162">
        <v>153</v>
      </c>
      <c r="Q201" s="162" t="str">
        <f t="shared" si="4"/>
        <v>(345) 678-9012</v>
      </c>
      <c r="R201" s="375" t="s">
        <v>1467</v>
      </c>
      <c r="S201" s="162" t="s">
        <v>1468</v>
      </c>
      <c r="T201" s="162" t="s">
        <v>1469</v>
      </c>
      <c r="U201" s="162" t="s">
        <v>1530</v>
      </c>
      <c r="V201" s="162" t="s">
        <v>966</v>
      </c>
      <c r="W201" s="162" t="s">
        <v>1492</v>
      </c>
      <c r="X201" s="251">
        <f t="shared" ca="1" si="5"/>
        <v>-0.36</v>
      </c>
    </row>
    <row r="202" spans="2:24">
      <c r="B202" s="248">
        <v>54</v>
      </c>
      <c r="C202" s="162" t="s">
        <v>1562</v>
      </c>
      <c r="D202" s="162">
        <f ca="1">ROUNDUP((TODAY()-'FUNCTIONS PRACTICE'!$E154)/365.5,0)</f>
        <v>60</v>
      </c>
      <c r="E202" s="249">
        <v>33012</v>
      </c>
      <c r="F202" s="162" t="s">
        <v>1563</v>
      </c>
      <c r="G202" s="162" t="s">
        <v>1695</v>
      </c>
      <c r="H202" s="162" t="s">
        <v>1696</v>
      </c>
      <c r="I202" s="249">
        <v>20201</v>
      </c>
      <c r="J202" s="162" t="s">
        <v>1618</v>
      </c>
      <c r="K202" s="402">
        <v>100</v>
      </c>
      <c r="L202" s="249">
        <v>45039</v>
      </c>
      <c r="M202" s="249">
        <v>45069</v>
      </c>
      <c r="N202" s="249">
        <v>45222</v>
      </c>
      <c r="O202" s="162" t="s">
        <v>1444</v>
      </c>
      <c r="P202" s="162">
        <v>154</v>
      </c>
      <c r="Q202" s="162" t="str">
        <f t="shared" si="4"/>
        <v>(456) 789-0123</v>
      </c>
      <c r="R202" s="375" t="s">
        <v>1478</v>
      </c>
      <c r="S202" s="162" t="s">
        <v>1479</v>
      </c>
      <c r="T202" s="162" t="s">
        <v>1480</v>
      </c>
      <c r="U202" s="162" t="s">
        <v>1460</v>
      </c>
      <c r="V202" s="162" t="s">
        <v>1449</v>
      </c>
      <c r="W202" s="162" t="s">
        <v>1587</v>
      </c>
      <c r="X202" s="251">
        <f t="shared" ca="1" si="5"/>
        <v>-0.5</v>
      </c>
    </row>
    <row r="203" spans="2:24">
      <c r="B203" s="248">
        <v>55</v>
      </c>
      <c r="C203" s="162" t="s">
        <v>1568</v>
      </c>
      <c r="D203" s="162">
        <f ca="1">ROUNDUP((TODAY()-'FUNCTIONS PRACTICE'!$E161)/365.5,0)</f>
        <v>20</v>
      </c>
      <c r="E203" s="249">
        <v>31388</v>
      </c>
      <c r="F203" s="162" t="s">
        <v>1569</v>
      </c>
      <c r="G203" s="162" t="s">
        <v>1697</v>
      </c>
      <c r="H203" s="162" t="s">
        <v>1698</v>
      </c>
      <c r="I203" s="249">
        <v>23812</v>
      </c>
      <c r="J203" s="162" t="s">
        <v>1623</v>
      </c>
      <c r="K203" s="402">
        <v>800</v>
      </c>
      <c r="L203" s="249">
        <v>45040</v>
      </c>
      <c r="M203" s="249">
        <v>45131</v>
      </c>
      <c r="N203" s="249">
        <v>45284</v>
      </c>
      <c r="O203" s="162" t="s">
        <v>1456</v>
      </c>
      <c r="P203" s="162">
        <v>155</v>
      </c>
      <c r="Q203" s="162" t="str">
        <f t="shared" si="4"/>
        <v>(567) 890-1234</v>
      </c>
      <c r="R203" s="375" t="s">
        <v>1488</v>
      </c>
      <c r="S203" s="162" t="s">
        <v>1489</v>
      </c>
      <c r="T203" s="162" t="s">
        <v>1490</v>
      </c>
      <c r="U203" s="162" t="s">
        <v>1448</v>
      </c>
      <c r="V203" s="162" t="s">
        <v>966</v>
      </c>
      <c r="W203" s="162" t="s">
        <v>1624</v>
      </c>
      <c r="X203" s="251">
        <f t="shared" ca="1" si="5"/>
        <v>-0.4</v>
      </c>
    </row>
    <row r="204" spans="2:24">
      <c r="B204" s="248">
        <v>56</v>
      </c>
      <c r="C204" s="162" t="s">
        <v>1575</v>
      </c>
      <c r="D204" s="162">
        <f ca="1">ROUNDUP((TODAY()-'FUNCTIONS PRACTICE'!$E191)/365.5,0)</f>
        <v>20</v>
      </c>
      <c r="E204" s="249">
        <v>27618</v>
      </c>
      <c r="F204" s="162" t="s">
        <v>1576</v>
      </c>
      <c r="G204" s="162" t="s">
        <v>1699</v>
      </c>
      <c r="H204" s="162" t="s">
        <v>1700</v>
      </c>
      <c r="I204" s="249">
        <v>22174</v>
      </c>
      <c r="J204" s="162" t="s">
        <v>1629</v>
      </c>
      <c r="K204" s="402">
        <v>300</v>
      </c>
      <c r="L204" s="249">
        <v>45041</v>
      </c>
      <c r="M204" s="249">
        <v>45255</v>
      </c>
      <c r="N204" s="249">
        <v>45468</v>
      </c>
      <c r="O204" s="162" t="s">
        <v>1444</v>
      </c>
      <c r="P204" s="162">
        <v>156</v>
      </c>
      <c r="Q204" s="162" t="str">
        <f t="shared" si="4"/>
        <v>(678) 901-2345</v>
      </c>
      <c r="R204" s="375" t="s">
        <v>1498</v>
      </c>
      <c r="S204" s="162" t="s">
        <v>1499</v>
      </c>
      <c r="T204" s="162" t="s">
        <v>1500</v>
      </c>
      <c r="U204" s="162" t="s">
        <v>1470</v>
      </c>
      <c r="V204" s="162" t="s">
        <v>1449</v>
      </c>
      <c r="W204" s="162" t="s">
        <v>1630</v>
      </c>
      <c r="X204" s="251">
        <f t="shared" ca="1" si="5"/>
        <v>-0.21000000000000002</v>
      </c>
    </row>
    <row r="205" spans="2:24">
      <c r="B205" s="248">
        <v>57</v>
      </c>
      <c r="C205" s="162" t="s">
        <v>1502</v>
      </c>
      <c r="D205" s="162">
        <f ca="1">ROUNDUP((TODAY()-'FUNCTIONS PRACTICE'!$E185)/365.5,0)</f>
        <v>50</v>
      </c>
      <c r="E205" s="249">
        <v>31142</v>
      </c>
      <c r="F205" s="162" t="s">
        <v>1503</v>
      </c>
      <c r="G205" s="162" t="s">
        <v>1701</v>
      </c>
      <c r="H205" s="162" t="s">
        <v>1702</v>
      </c>
      <c r="I205" s="249">
        <v>23761</v>
      </c>
      <c r="J205" s="162" t="s">
        <v>1535</v>
      </c>
      <c r="K205" s="402">
        <v>300</v>
      </c>
      <c r="L205" s="249">
        <v>45042</v>
      </c>
      <c r="M205" s="249">
        <v>45225</v>
      </c>
      <c r="N205" s="249">
        <v>45469</v>
      </c>
      <c r="O205" s="162" t="s">
        <v>1456</v>
      </c>
      <c r="P205" s="162">
        <v>157</v>
      </c>
      <c r="Q205" s="162" t="str">
        <f t="shared" si="4"/>
        <v>(789) 012-3456</v>
      </c>
      <c r="R205" s="375" t="s">
        <v>1507</v>
      </c>
      <c r="S205" s="162" t="s">
        <v>1508</v>
      </c>
      <c r="T205" s="162" t="s">
        <v>1509</v>
      </c>
      <c r="U205" s="162" t="s">
        <v>1553</v>
      </c>
      <c r="V205" s="162" t="s">
        <v>1471</v>
      </c>
      <c r="W205" s="162" t="s">
        <v>1540</v>
      </c>
      <c r="X205" s="251">
        <f t="shared" ca="1" si="5"/>
        <v>-0.5</v>
      </c>
    </row>
    <row r="206" spans="2:24">
      <c r="B206" s="248">
        <v>58</v>
      </c>
      <c r="C206" s="162" t="s">
        <v>1512</v>
      </c>
      <c r="D206" s="162">
        <f ca="1">ROUNDUP((TODAY()-'FUNCTIONS PRACTICE'!$E192)/365.5,0)</f>
        <v>56</v>
      </c>
      <c r="E206" s="249">
        <v>25855</v>
      </c>
      <c r="F206" s="162" t="s">
        <v>1513</v>
      </c>
      <c r="G206" s="162" t="s">
        <v>1703</v>
      </c>
      <c r="H206" s="162" t="s">
        <v>1704</v>
      </c>
      <c r="I206" s="249">
        <v>25744</v>
      </c>
      <c r="J206" s="162" t="s">
        <v>1516</v>
      </c>
      <c r="K206" s="402">
        <v>500</v>
      </c>
      <c r="L206" s="249">
        <v>45043</v>
      </c>
      <c r="M206" s="249">
        <v>45257</v>
      </c>
      <c r="N206" s="249">
        <v>45470</v>
      </c>
      <c r="O206" s="162" t="s">
        <v>1444</v>
      </c>
      <c r="P206" s="162">
        <v>158</v>
      </c>
      <c r="Q206" s="162" t="str">
        <f t="shared" si="4"/>
        <v>(890) 123-4567</v>
      </c>
      <c r="R206" s="375" t="s">
        <v>1517</v>
      </c>
      <c r="S206" s="162" t="s">
        <v>1518</v>
      </c>
      <c r="T206" s="162" t="s">
        <v>1519</v>
      </c>
      <c r="U206" s="162" t="s">
        <v>1481</v>
      </c>
      <c r="V206" s="162" t="s">
        <v>1449</v>
      </c>
      <c r="W206" s="162" t="s">
        <v>1521</v>
      </c>
      <c r="X206" s="251">
        <f t="shared" ca="1" si="5"/>
        <v>-0.48</v>
      </c>
    </row>
    <row r="207" spans="2:24">
      <c r="B207" s="248">
        <v>59</v>
      </c>
      <c r="C207" s="162" t="s">
        <v>1522</v>
      </c>
      <c r="D207" s="162">
        <f ca="1">ROUNDUP((TODAY()-'FUNCTIONS PRACTICE'!$E171)/365.5,0)</f>
        <v>40</v>
      </c>
      <c r="E207" s="249">
        <v>38659</v>
      </c>
      <c r="F207" s="162" t="s">
        <v>1523</v>
      </c>
      <c r="G207" s="162" t="s">
        <v>1705</v>
      </c>
      <c r="H207" s="162" t="s">
        <v>1706</v>
      </c>
      <c r="I207" s="249">
        <v>23843</v>
      </c>
      <c r="J207" s="162" t="s">
        <v>1572</v>
      </c>
      <c r="K207" s="402">
        <v>100</v>
      </c>
      <c r="L207" s="249">
        <v>45044</v>
      </c>
      <c r="M207" s="249">
        <v>45166</v>
      </c>
      <c r="N207" s="249">
        <v>45288</v>
      </c>
      <c r="O207" s="162" t="s">
        <v>1456</v>
      </c>
      <c r="P207" s="162">
        <v>159</v>
      </c>
      <c r="Q207" s="162" t="str">
        <f t="shared" si="4"/>
        <v>(901) 234-5678</v>
      </c>
      <c r="R207" s="375" t="s">
        <v>1527</v>
      </c>
      <c r="S207" s="162" t="s">
        <v>1528</v>
      </c>
      <c r="T207" s="162" t="s">
        <v>1529</v>
      </c>
      <c r="U207" s="162" t="s">
        <v>1560</v>
      </c>
      <c r="V207" s="162" t="s">
        <v>966</v>
      </c>
      <c r="W207" s="162" t="s">
        <v>1574</v>
      </c>
      <c r="X207" s="251">
        <f t="shared" ca="1" si="5"/>
        <v>-0.63</v>
      </c>
    </row>
    <row r="208" spans="2:24">
      <c r="B208" s="248">
        <v>60</v>
      </c>
      <c r="C208" s="162" t="s">
        <v>1531</v>
      </c>
      <c r="D208" s="162">
        <f ca="1">ROUNDUP((TODAY()-'FUNCTIONS PRACTICE'!$E155)/365.5,0)</f>
        <v>55</v>
      </c>
      <c r="E208" s="249">
        <v>34963</v>
      </c>
      <c r="F208" s="162" t="s">
        <v>1532</v>
      </c>
      <c r="G208" s="162" t="s">
        <v>1707</v>
      </c>
      <c r="H208" s="162" t="s">
        <v>1708</v>
      </c>
      <c r="I208" s="249">
        <v>24086</v>
      </c>
      <c r="J208" s="162" t="s">
        <v>1579</v>
      </c>
      <c r="K208" s="402">
        <v>80</v>
      </c>
      <c r="L208" s="249">
        <v>45045</v>
      </c>
      <c r="M208" s="249">
        <v>45075</v>
      </c>
      <c r="N208" s="249">
        <v>45228</v>
      </c>
      <c r="O208" s="162" t="s">
        <v>1444</v>
      </c>
      <c r="P208" s="162">
        <v>160</v>
      </c>
      <c r="Q208" s="162" t="str">
        <f t="shared" si="4"/>
        <v>(012) 345-6789</v>
      </c>
      <c r="R208" s="375" t="s">
        <v>1536</v>
      </c>
      <c r="S208" s="162" t="s">
        <v>1537</v>
      </c>
      <c r="T208" s="162" t="s">
        <v>1538</v>
      </c>
      <c r="U208" s="162" t="s">
        <v>1491</v>
      </c>
      <c r="V208" s="162" t="s">
        <v>1449</v>
      </c>
      <c r="W208" s="162" t="s">
        <v>1450</v>
      </c>
      <c r="X208" s="251">
        <f t="shared" ca="1" si="5"/>
        <v>-0.89</v>
      </c>
    </row>
    <row r="209" spans="2:24">
      <c r="B209" s="248">
        <v>61</v>
      </c>
      <c r="C209" s="162" t="s">
        <v>1541</v>
      </c>
      <c r="D209" s="162">
        <f ca="1">ROUNDUP((TODAY()-'FUNCTIONS PRACTICE'!$E193)/365.5,0)</f>
        <v>36</v>
      </c>
      <c r="E209" s="249">
        <v>31138</v>
      </c>
      <c r="F209" s="162" t="s">
        <v>1542</v>
      </c>
      <c r="G209" s="162" t="s">
        <v>1709</v>
      </c>
      <c r="H209" s="162" t="s">
        <v>1710</v>
      </c>
      <c r="I209" s="249">
        <v>25795</v>
      </c>
      <c r="J209" s="162" t="s">
        <v>1585</v>
      </c>
      <c r="K209" s="402">
        <v>600</v>
      </c>
      <c r="L209" s="249">
        <v>45046</v>
      </c>
      <c r="M209" s="249">
        <v>45260</v>
      </c>
      <c r="N209" s="249">
        <v>45442</v>
      </c>
      <c r="O209" s="162" t="s">
        <v>1456</v>
      </c>
      <c r="P209" s="162">
        <v>161</v>
      </c>
      <c r="Q209" s="162" t="str">
        <f t="shared" si="4"/>
        <v>(123) 456-7890</v>
      </c>
      <c r="R209" s="375" t="s">
        <v>1445</v>
      </c>
      <c r="S209" s="162" t="s">
        <v>1446</v>
      </c>
      <c r="T209" s="162" t="s">
        <v>1447</v>
      </c>
      <c r="U209" s="162" t="s">
        <v>1573</v>
      </c>
      <c r="V209" s="162" t="s">
        <v>966</v>
      </c>
      <c r="W209" s="162" t="s">
        <v>1587</v>
      </c>
      <c r="X209" s="251">
        <f t="shared" ca="1" si="5"/>
        <v>-0.74</v>
      </c>
    </row>
    <row r="210" spans="2:24">
      <c r="B210" s="248">
        <v>62</v>
      </c>
      <c r="C210" s="162" t="s">
        <v>1548</v>
      </c>
      <c r="D210" s="162">
        <f ca="1">ROUNDUP((TODAY()-'FUNCTIONS PRACTICE'!$E195)/365.5,0)</f>
        <v>50</v>
      </c>
      <c r="E210" s="249">
        <v>25927</v>
      </c>
      <c r="F210" s="162" t="s">
        <v>1549</v>
      </c>
      <c r="G210" s="162" t="s">
        <v>1711</v>
      </c>
      <c r="H210" s="162" t="s">
        <v>1465</v>
      </c>
      <c r="I210" s="249">
        <v>22054</v>
      </c>
      <c r="J210" s="162" t="s">
        <v>1516</v>
      </c>
      <c r="K210" s="402">
        <v>500</v>
      </c>
      <c r="L210" s="249">
        <v>45047</v>
      </c>
      <c r="M210" s="249">
        <v>45261</v>
      </c>
      <c r="N210" s="249">
        <v>45444</v>
      </c>
      <c r="O210" s="162" t="s">
        <v>1444</v>
      </c>
      <c r="P210" s="162">
        <v>162</v>
      </c>
      <c r="Q210" s="162" t="str">
        <f t="shared" si="4"/>
        <v>(234) 567-8901</v>
      </c>
      <c r="R210" s="375" t="s">
        <v>1457</v>
      </c>
      <c r="S210" s="162" t="s">
        <v>1458</v>
      </c>
      <c r="T210" s="162" t="s">
        <v>1459</v>
      </c>
      <c r="U210" s="162" t="s">
        <v>1580</v>
      </c>
      <c r="V210" s="162" t="s">
        <v>1449</v>
      </c>
      <c r="W210" s="162" t="s">
        <v>1521</v>
      </c>
      <c r="X210" s="251">
        <f t="shared" ca="1" si="5"/>
        <v>-1</v>
      </c>
    </row>
    <row r="211" spans="2:24">
      <c r="B211" s="172">
        <v>63</v>
      </c>
      <c r="C211" s="252" t="s">
        <v>1555</v>
      </c>
      <c r="D211" s="370">
        <f ca="1">ROUNDUP((TODAY()-E211)/365.5,0)</f>
        <v>35</v>
      </c>
      <c r="E211" s="253">
        <v>33096</v>
      </c>
      <c r="F211" s="252" t="s">
        <v>1556</v>
      </c>
      <c r="G211" s="252" t="s">
        <v>1712</v>
      </c>
      <c r="H211" s="252" t="s">
        <v>1558</v>
      </c>
      <c r="I211" s="253">
        <v>22202</v>
      </c>
      <c r="J211" s="252" t="s">
        <v>1597</v>
      </c>
      <c r="K211" s="387">
        <v>900</v>
      </c>
      <c r="L211" s="253">
        <v>45048</v>
      </c>
      <c r="M211" s="253">
        <v>45353</v>
      </c>
      <c r="N211" s="253">
        <v>45537</v>
      </c>
      <c r="O211" s="252" t="s">
        <v>1456</v>
      </c>
      <c r="P211" s="252">
        <v>163</v>
      </c>
      <c r="Q211" s="252" t="str">
        <f t="shared" si="4"/>
        <v>(345) 678-9012</v>
      </c>
      <c r="R211" s="252" t="s">
        <v>1467</v>
      </c>
      <c r="S211" s="252">
        <v>765</v>
      </c>
      <c r="T211" s="252"/>
      <c r="U211" s="252"/>
      <c r="V211" s="252"/>
      <c r="W211" s="16"/>
      <c r="X211" s="255"/>
    </row>
    <row r="213" spans="2:24">
      <c r="L213" s="375"/>
    </row>
    <row r="215" spans="2:24" ht="18.75">
      <c r="B215" s="629" t="s">
        <v>2077</v>
      </c>
      <c r="C215" s="630"/>
      <c r="D215" s="630"/>
      <c r="E215" s="630"/>
      <c r="F215" s="631"/>
      <c r="H215" s="632" t="s">
        <v>1753</v>
      </c>
      <c r="I215" s="633"/>
      <c r="J215" s="633"/>
      <c r="K215" s="633"/>
      <c r="L215" s="633"/>
      <c r="M215" s="633"/>
      <c r="N215" s="633"/>
      <c r="O215" s="633"/>
      <c r="P215" s="633"/>
      <c r="Q215" s="633"/>
      <c r="R215" s="633"/>
      <c r="S215" s="633"/>
      <c r="T215" s="633"/>
      <c r="U215" s="633"/>
      <c r="V215" s="633"/>
      <c r="W215" s="633"/>
      <c r="X215" s="634"/>
    </row>
    <row r="216" spans="2:24">
      <c r="B216" s="577"/>
      <c r="C216" s="527"/>
      <c r="D216" s="527"/>
      <c r="E216" s="527"/>
      <c r="F216" s="578"/>
      <c r="H216" s="399" t="s">
        <v>2105</v>
      </c>
      <c r="I216" s="400" t="s">
        <v>2106</v>
      </c>
      <c r="J216" s="400" t="s">
        <v>2107</v>
      </c>
      <c r="K216" s="400" t="s">
        <v>2108</v>
      </c>
      <c r="L216" s="400" t="s">
        <v>2109</v>
      </c>
      <c r="M216" s="400" t="s">
        <v>256</v>
      </c>
      <c r="N216" s="400" t="s">
        <v>257</v>
      </c>
      <c r="O216" s="400" t="s">
        <v>258</v>
      </c>
      <c r="P216" s="400" t="s">
        <v>259</v>
      </c>
      <c r="Q216" s="400" t="s">
        <v>2110</v>
      </c>
      <c r="R216" s="400" t="s">
        <v>2112</v>
      </c>
      <c r="S216" s="400" t="s">
        <v>2113</v>
      </c>
      <c r="T216" s="400" t="s">
        <v>2114</v>
      </c>
      <c r="U216" s="400" t="s">
        <v>2115</v>
      </c>
      <c r="V216" s="400" t="s">
        <v>2116</v>
      </c>
      <c r="W216" s="400" t="s">
        <v>2117</v>
      </c>
      <c r="X216" s="401" t="s">
        <v>2118</v>
      </c>
    </row>
    <row r="217" spans="2:24">
      <c r="B217" s="539" t="s">
        <v>2078</v>
      </c>
      <c r="C217" s="526"/>
      <c r="D217" s="526"/>
      <c r="E217" s="526"/>
      <c r="F217" s="540"/>
      <c r="H217" s="23" t="str">
        <f>LEFT(C249,2)</f>
        <v>AA</v>
      </c>
      <c r="I217" s="6" t="str">
        <f t="shared" ref="I217:I226" si="6">RIGHT(F249,4)</f>
        <v>2345</v>
      </c>
      <c r="J217" s="6" t="str">
        <f t="shared" ref="J217:J226" si="7">MID(C249,3,3)</f>
        <v>123</v>
      </c>
      <c r="K217" s="6">
        <f t="shared" ref="K217:K226" ca="1" si="8">D249-TODAY()</f>
        <v>-203</v>
      </c>
      <c r="L217" s="6" t="str">
        <f t="shared" ref="L217:L226" si="9">CONCATENATE(B249," ",C249)</f>
        <v>John Doe AA1234</v>
      </c>
      <c r="M217" s="6" t="str">
        <f t="shared" ref="M217:M226" si="10">UPPER(E249)</f>
        <v>NEW YORK</v>
      </c>
      <c r="N217" s="6" t="str">
        <f t="shared" ref="N217:N226" si="11">LOWER(M217)</f>
        <v>new york</v>
      </c>
      <c r="O217" s="6" t="str">
        <f t="shared" ref="O217:O226" si="12">PROPER(N217)</f>
        <v>New York</v>
      </c>
      <c r="P217" s="6">
        <f t="shared" ref="P217:P226" si="13">LEN(B249)</f>
        <v>8</v>
      </c>
      <c r="Q217" s="6" t="b">
        <f t="shared" ref="Q217:Q226" si="14">IFERROR(H217=LEFT(C249,2), "WRONG ENTER")</f>
        <v>1</v>
      </c>
      <c r="R217" s="6" t="str">
        <f t="shared" ref="R217:R226" si="15">DOLLAR(I249,2)</f>
        <v>₹ 350.00</v>
      </c>
      <c r="S217" s="6" t="str">
        <f t="shared" ref="S217:S226" si="16">FIXED(I249,0)</f>
        <v>350</v>
      </c>
      <c r="T217" s="6" t="str">
        <f t="shared" ref="T217:T226" si="17">TEXT(D249,"MMM DD YYYY")</f>
        <v>Aug 15 2024</v>
      </c>
      <c r="U217" s="6" t="str">
        <f t="shared" ref="U217:U226" si="18">T(J249)</f>
        <v>6h 30m</v>
      </c>
      <c r="V217" s="6">
        <f t="shared" ref="V217:V226" si="19">CODE(B249)</f>
        <v>74</v>
      </c>
      <c r="W217" s="69" t="s">
        <v>2020</v>
      </c>
      <c r="X217" s="24" t="b">
        <f t="shared" ref="X217:X226" si="20">EXACT(K249,W217)</f>
        <v>1</v>
      </c>
    </row>
    <row r="218" spans="2:24">
      <c r="B218" s="539" t="s">
        <v>2079</v>
      </c>
      <c r="C218" s="526"/>
      <c r="D218" s="526"/>
      <c r="E218" s="526"/>
      <c r="F218" s="540"/>
      <c r="H218" s="23" t="s">
        <v>2111</v>
      </c>
      <c r="I218" s="6" t="str">
        <f t="shared" si="6"/>
        <v>7890</v>
      </c>
      <c r="J218" s="6" t="str">
        <f t="shared" si="7"/>
        <v>567</v>
      </c>
      <c r="K218" s="6">
        <f t="shared" ca="1" si="8"/>
        <v>-167</v>
      </c>
      <c r="L218" s="6" t="str">
        <f t="shared" si="9"/>
        <v>Jane Smith BA5678</v>
      </c>
      <c r="M218" s="6" t="str">
        <f t="shared" si="10"/>
        <v>LONDON</v>
      </c>
      <c r="N218" s="6" t="str">
        <f t="shared" si="11"/>
        <v>london</v>
      </c>
      <c r="O218" s="6" t="str">
        <f t="shared" si="12"/>
        <v>London</v>
      </c>
      <c r="P218" s="6">
        <f t="shared" si="13"/>
        <v>10</v>
      </c>
      <c r="Q218" s="6" t="b">
        <f t="shared" si="14"/>
        <v>1</v>
      </c>
      <c r="R218" s="6" t="str">
        <f t="shared" si="15"/>
        <v>₹ 850.00</v>
      </c>
      <c r="S218" s="6" t="str">
        <f t="shared" si="16"/>
        <v>850</v>
      </c>
      <c r="T218" s="6" t="str">
        <f t="shared" si="17"/>
        <v>Sep 20 2024</v>
      </c>
      <c r="U218" s="6" t="str">
        <f t="shared" si="18"/>
        <v>7h 45m</v>
      </c>
      <c r="V218" s="6">
        <f t="shared" si="19"/>
        <v>74</v>
      </c>
      <c r="W218" s="69" t="s">
        <v>2020</v>
      </c>
      <c r="X218" s="24" t="b">
        <f t="shared" si="20"/>
        <v>1</v>
      </c>
    </row>
    <row r="219" spans="2:24">
      <c r="B219" s="539" t="s">
        <v>2080</v>
      </c>
      <c r="C219" s="526"/>
      <c r="D219" s="526"/>
      <c r="E219" s="526"/>
      <c r="F219" s="540"/>
      <c r="H219" s="23" t="str">
        <f t="shared" ref="H219:H226" si="21">LEFT(C251,2)</f>
        <v>UA</v>
      </c>
      <c r="I219" s="6" t="str">
        <f t="shared" si="6"/>
        <v>3456</v>
      </c>
      <c r="J219" s="6" t="str">
        <f t="shared" si="7"/>
        <v>910</v>
      </c>
      <c r="K219" s="6">
        <f t="shared" ca="1" si="8"/>
        <v>-152</v>
      </c>
      <c r="L219" s="6" t="str">
        <f t="shared" si="9"/>
        <v>Emily Johnson UA9101</v>
      </c>
      <c r="M219" s="6" t="str">
        <f t="shared" si="10"/>
        <v>PARIS</v>
      </c>
      <c r="N219" s="6" t="str">
        <f t="shared" si="11"/>
        <v>paris</v>
      </c>
      <c r="O219" s="6" t="str">
        <f t="shared" si="12"/>
        <v>Paris</v>
      </c>
      <c r="P219" s="6">
        <f t="shared" si="13"/>
        <v>13</v>
      </c>
      <c r="Q219" s="6" t="b">
        <f t="shared" si="14"/>
        <v>1</v>
      </c>
      <c r="R219" s="6" t="str">
        <f t="shared" si="15"/>
        <v>₹ 1,200.00</v>
      </c>
      <c r="S219" s="6" t="str">
        <f t="shared" si="16"/>
        <v>1,200</v>
      </c>
      <c r="T219" s="6" t="str">
        <f t="shared" si="17"/>
        <v>Oct 05 2024</v>
      </c>
      <c r="U219" s="6" t="str">
        <f t="shared" si="18"/>
        <v>8h 20m</v>
      </c>
      <c r="V219" s="6">
        <f t="shared" si="19"/>
        <v>69</v>
      </c>
      <c r="W219" s="69" t="s">
        <v>2035</v>
      </c>
      <c r="X219" s="24" t="b">
        <f t="shared" si="20"/>
        <v>1</v>
      </c>
    </row>
    <row r="220" spans="2:24">
      <c r="B220" s="539" t="s">
        <v>2081</v>
      </c>
      <c r="C220" s="526"/>
      <c r="D220" s="526"/>
      <c r="E220" s="526"/>
      <c r="F220" s="540"/>
      <c r="H220" s="23" t="str">
        <f t="shared" si="21"/>
        <v>DL</v>
      </c>
      <c r="I220" s="6" t="str">
        <f t="shared" si="6"/>
        <v>4567</v>
      </c>
      <c r="J220" s="6" t="str">
        <f t="shared" si="7"/>
        <v>112</v>
      </c>
      <c r="K220" s="6">
        <f t="shared" ca="1" si="8"/>
        <v>-101</v>
      </c>
      <c r="L220" s="6" t="str">
        <f t="shared" si="9"/>
        <v>Michael Brown DL1122</v>
      </c>
      <c r="M220" s="6" t="str">
        <f t="shared" si="10"/>
        <v>TOKYO</v>
      </c>
      <c r="N220" s="6" t="str">
        <f t="shared" si="11"/>
        <v>tokyo</v>
      </c>
      <c r="O220" s="6" t="str">
        <f t="shared" si="12"/>
        <v>Tokyo</v>
      </c>
      <c r="P220" s="6">
        <f t="shared" si="13"/>
        <v>13</v>
      </c>
      <c r="Q220" s="6" t="b">
        <f t="shared" si="14"/>
        <v>1</v>
      </c>
      <c r="R220" s="6" t="str">
        <f t="shared" si="15"/>
        <v>₹ 500.00</v>
      </c>
      <c r="S220" s="6" t="str">
        <f t="shared" si="16"/>
        <v>500</v>
      </c>
      <c r="T220" s="6" t="str">
        <f t="shared" si="17"/>
        <v>Nov 25 2024</v>
      </c>
      <c r="U220" s="6" t="str">
        <f t="shared" si="18"/>
        <v>10h 15m</v>
      </c>
      <c r="V220" s="6">
        <f t="shared" si="19"/>
        <v>77</v>
      </c>
      <c r="W220" s="69" t="s">
        <v>2020</v>
      </c>
      <c r="X220" s="24" t="b">
        <f t="shared" si="20"/>
        <v>1</v>
      </c>
    </row>
    <row r="221" spans="2:24">
      <c r="B221" s="539" t="s">
        <v>2082</v>
      </c>
      <c r="C221" s="526"/>
      <c r="D221" s="526"/>
      <c r="E221" s="526"/>
      <c r="F221" s="540"/>
      <c r="H221" s="23" t="str">
        <f t="shared" si="21"/>
        <v>SW</v>
      </c>
      <c r="I221" s="6" t="str">
        <f t="shared" si="6"/>
        <v>5678</v>
      </c>
      <c r="J221" s="6" t="str">
        <f t="shared" si="7"/>
        <v>343</v>
      </c>
      <c r="K221" s="6">
        <f t="shared" ca="1" si="8"/>
        <v>-66</v>
      </c>
      <c r="L221" s="6" t="str">
        <f t="shared" si="9"/>
        <v>Sarah Davis SW3434</v>
      </c>
      <c r="M221" s="6" t="str">
        <f t="shared" si="10"/>
        <v>SYDNEY</v>
      </c>
      <c r="N221" s="6" t="str">
        <f t="shared" si="11"/>
        <v>sydney</v>
      </c>
      <c r="O221" s="6" t="str">
        <f t="shared" si="12"/>
        <v>Sydney</v>
      </c>
      <c r="P221" s="6">
        <f t="shared" si="13"/>
        <v>11</v>
      </c>
      <c r="Q221" s="6" t="b">
        <f t="shared" si="14"/>
        <v>1</v>
      </c>
      <c r="R221" s="6" t="str">
        <f t="shared" si="15"/>
        <v>₹ 900.00</v>
      </c>
      <c r="S221" s="6" t="str">
        <f t="shared" si="16"/>
        <v>900</v>
      </c>
      <c r="T221" s="6" t="str">
        <f t="shared" si="17"/>
        <v>Dec 30 2024</v>
      </c>
      <c r="U221" s="6" t="str">
        <f t="shared" si="18"/>
        <v>9h 5m</v>
      </c>
      <c r="V221" s="6">
        <f t="shared" si="19"/>
        <v>83</v>
      </c>
      <c r="W221" s="69" t="s">
        <v>2020</v>
      </c>
      <c r="X221" s="24" t="b">
        <f t="shared" si="20"/>
        <v>1</v>
      </c>
    </row>
    <row r="222" spans="2:24">
      <c r="B222" s="539" t="s">
        <v>2083</v>
      </c>
      <c r="C222" s="526"/>
      <c r="D222" s="526"/>
      <c r="E222" s="526"/>
      <c r="F222" s="540"/>
      <c r="H222" s="23" t="str">
        <f t="shared" si="21"/>
        <v>AA</v>
      </c>
      <c r="I222" s="6" t="str">
        <f t="shared" si="6"/>
        <v>6789</v>
      </c>
      <c r="J222" s="6" t="str">
        <f t="shared" si="7"/>
        <v>567</v>
      </c>
      <c r="K222" s="6">
        <f t="shared" ca="1" si="8"/>
        <v>-198</v>
      </c>
      <c r="L222" s="6" t="str">
        <f t="shared" si="9"/>
        <v>Lisa White AA5678</v>
      </c>
      <c r="M222" s="6" t="str">
        <f t="shared" si="10"/>
        <v>MIAMI</v>
      </c>
      <c r="N222" s="6" t="str">
        <f t="shared" si="11"/>
        <v>miami</v>
      </c>
      <c r="O222" s="6" t="str">
        <f t="shared" si="12"/>
        <v>Miami</v>
      </c>
      <c r="P222" s="6">
        <f t="shared" si="13"/>
        <v>10</v>
      </c>
      <c r="Q222" s="6" t="b">
        <f t="shared" si="14"/>
        <v>1</v>
      </c>
      <c r="R222" s="6" t="str">
        <f t="shared" si="15"/>
        <v>₹ 300.00</v>
      </c>
      <c r="S222" s="6" t="str">
        <f t="shared" si="16"/>
        <v>300</v>
      </c>
      <c r="T222" s="6" t="str">
        <f t="shared" si="17"/>
        <v>Aug 20 2024</v>
      </c>
      <c r="U222" s="6" t="str">
        <f t="shared" si="18"/>
        <v>3h 50m</v>
      </c>
      <c r="V222" s="6">
        <f t="shared" si="19"/>
        <v>76</v>
      </c>
      <c r="W222" s="69" t="s">
        <v>2020</v>
      </c>
      <c r="X222" s="24" t="b">
        <f t="shared" si="20"/>
        <v>1</v>
      </c>
    </row>
    <row r="223" spans="2:24">
      <c r="B223" s="539" t="s">
        <v>2084</v>
      </c>
      <c r="C223" s="526"/>
      <c r="D223" s="526"/>
      <c r="E223" s="526"/>
      <c r="F223" s="540"/>
      <c r="H223" s="23" t="str">
        <f t="shared" si="21"/>
        <v>BA</v>
      </c>
      <c r="I223" s="6" t="str">
        <f t="shared" si="6"/>
        <v>7891</v>
      </c>
      <c r="J223" s="6" t="str">
        <f t="shared" si="7"/>
        <v>910</v>
      </c>
      <c r="K223" s="6">
        <f t="shared" ca="1" si="8"/>
        <v>-162</v>
      </c>
      <c r="L223" s="6" t="str">
        <f t="shared" si="9"/>
        <v>Tom Wilson BA9102</v>
      </c>
      <c r="M223" s="6" t="str">
        <f t="shared" si="10"/>
        <v>BERLIN</v>
      </c>
      <c r="N223" s="6" t="str">
        <f t="shared" si="11"/>
        <v>berlin</v>
      </c>
      <c r="O223" s="6" t="str">
        <f t="shared" si="12"/>
        <v>Berlin</v>
      </c>
      <c r="P223" s="6">
        <f t="shared" si="13"/>
        <v>10</v>
      </c>
      <c r="Q223" s="6" t="b">
        <f t="shared" si="14"/>
        <v>1</v>
      </c>
      <c r="R223" s="6" t="str">
        <f t="shared" si="15"/>
        <v>₹ 1,300.00</v>
      </c>
      <c r="S223" s="6" t="str">
        <f t="shared" si="16"/>
        <v>1,300</v>
      </c>
      <c r="T223" s="6" t="str">
        <f t="shared" si="17"/>
        <v>Sep 25 2024</v>
      </c>
      <c r="U223" s="6" t="str">
        <f t="shared" si="18"/>
        <v>8h 50m</v>
      </c>
      <c r="V223" s="6">
        <f t="shared" si="19"/>
        <v>84</v>
      </c>
      <c r="W223" s="69" t="s">
        <v>2020</v>
      </c>
      <c r="X223" s="24" t="b">
        <f t="shared" si="20"/>
        <v>1</v>
      </c>
    </row>
    <row r="224" spans="2:24">
      <c r="B224" s="539" t="s">
        <v>2085</v>
      </c>
      <c r="C224" s="526"/>
      <c r="D224" s="526"/>
      <c r="E224" s="526"/>
      <c r="F224" s="540"/>
      <c r="H224" s="23" t="str">
        <f t="shared" si="21"/>
        <v>UA</v>
      </c>
      <c r="I224" s="6" t="str">
        <f t="shared" si="6"/>
        <v>8901</v>
      </c>
      <c r="J224" s="6" t="str">
        <f t="shared" si="7"/>
        <v>234</v>
      </c>
      <c r="K224" s="6">
        <f t="shared" ca="1" si="8"/>
        <v>-147</v>
      </c>
      <c r="L224" s="6" t="str">
        <f t="shared" si="9"/>
        <v>Alice Green UA2345</v>
      </c>
      <c r="M224" s="6" t="str">
        <f t="shared" si="10"/>
        <v>TORONTO</v>
      </c>
      <c r="N224" s="6" t="str">
        <f t="shared" si="11"/>
        <v>toronto</v>
      </c>
      <c r="O224" s="6" t="str">
        <f t="shared" si="12"/>
        <v>Toronto</v>
      </c>
      <c r="P224" s="6">
        <f t="shared" si="13"/>
        <v>11</v>
      </c>
      <c r="Q224" s="6" t="b">
        <f t="shared" si="14"/>
        <v>1</v>
      </c>
      <c r="R224" s="6" t="str">
        <f t="shared" si="15"/>
        <v>₹ 700.00</v>
      </c>
      <c r="S224" s="6" t="str">
        <f t="shared" si="16"/>
        <v>700</v>
      </c>
      <c r="T224" s="6" t="str">
        <f t="shared" si="17"/>
        <v>Oct 10 2024</v>
      </c>
      <c r="U224" s="6" t="str">
        <f t="shared" si="18"/>
        <v>4h 15m</v>
      </c>
      <c r="V224" s="6">
        <f t="shared" si="19"/>
        <v>65</v>
      </c>
      <c r="W224" s="69" t="s">
        <v>2020</v>
      </c>
      <c r="X224" s="24" t="b">
        <f t="shared" si="20"/>
        <v>1</v>
      </c>
    </row>
    <row r="225" spans="2:24">
      <c r="B225" s="539" t="s">
        <v>2086</v>
      </c>
      <c r="C225" s="526"/>
      <c r="D225" s="526"/>
      <c r="E225" s="526"/>
      <c r="F225" s="540"/>
      <c r="H225" s="23" t="str">
        <f t="shared" si="21"/>
        <v>DL</v>
      </c>
      <c r="I225" s="6" t="str">
        <f t="shared" si="6"/>
        <v>9012</v>
      </c>
      <c r="J225" s="6" t="str">
        <f t="shared" si="7"/>
        <v>345</v>
      </c>
      <c r="K225" s="6">
        <f t="shared" ca="1" si="8"/>
        <v>-96</v>
      </c>
      <c r="L225" s="6" t="str">
        <f t="shared" si="9"/>
        <v>Robert Lee DL3456</v>
      </c>
      <c r="M225" s="6" t="str">
        <f t="shared" si="10"/>
        <v>ROME</v>
      </c>
      <c r="N225" s="6" t="str">
        <f t="shared" si="11"/>
        <v>rome</v>
      </c>
      <c r="O225" s="6" t="str">
        <f t="shared" si="12"/>
        <v>Rome</v>
      </c>
      <c r="P225" s="6">
        <f t="shared" si="13"/>
        <v>10</v>
      </c>
      <c r="Q225" s="6" t="b">
        <f t="shared" si="14"/>
        <v>1</v>
      </c>
      <c r="R225" s="6" t="str">
        <f t="shared" si="15"/>
        <v>₹ 400.00</v>
      </c>
      <c r="S225" s="6" t="str">
        <f t="shared" si="16"/>
        <v>400</v>
      </c>
      <c r="T225" s="6" t="str">
        <f t="shared" si="17"/>
        <v>Nov 30 2024</v>
      </c>
      <c r="U225" s="6" t="str">
        <f t="shared" si="18"/>
        <v>7h 0m</v>
      </c>
      <c r="V225" s="6">
        <f t="shared" si="19"/>
        <v>82</v>
      </c>
      <c r="W225" s="69" t="s">
        <v>2035</v>
      </c>
      <c r="X225" s="24" t="b">
        <f t="shared" si="20"/>
        <v>1</v>
      </c>
    </row>
    <row r="226" spans="2:24">
      <c r="B226" s="539" t="s">
        <v>2087</v>
      </c>
      <c r="C226" s="526"/>
      <c r="D226" s="526"/>
      <c r="E226" s="526"/>
      <c r="F226" s="540"/>
      <c r="H226" s="25" t="str">
        <f t="shared" si="21"/>
        <v>SW</v>
      </c>
      <c r="I226" s="126" t="str">
        <f t="shared" si="6"/>
        <v>0123</v>
      </c>
      <c r="J226" s="126" t="str">
        <f t="shared" si="7"/>
        <v>456</v>
      </c>
      <c r="K226" s="126">
        <f t="shared" ca="1" si="8"/>
        <v>-91</v>
      </c>
      <c r="L226" s="126" t="str">
        <f t="shared" si="9"/>
        <v>Carol Martinez SW4567</v>
      </c>
      <c r="M226" s="126" t="str">
        <f t="shared" si="10"/>
        <v>DUBAI</v>
      </c>
      <c r="N226" s="126" t="str">
        <f t="shared" si="11"/>
        <v>dubai</v>
      </c>
      <c r="O226" s="126" t="str">
        <f t="shared" si="12"/>
        <v>Dubai</v>
      </c>
      <c r="P226" s="126">
        <f t="shared" si="13"/>
        <v>14</v>
      </c>
      <c r="Q226" s="126" t="b">
        <f t="shared" si="14"/>
        <v>1</v>
      </c>
      <c r="R226" s="126" t="str">
        <f t="shared" si="15"/>
        <v>₹ 1,100.00</v>
      </c>
      <c r="S226" s="126" t="str">
        <f t="shared" si="16"/>
        <v>1,100</v>
      </c>
      <c r="T226" s="126" t="str">
        <f t="shared" si="17"/>
        <v>Dec 05 2024</v>
      </c>
      <c r="U226" s="126" t="str">
        <f t="shared" si="18"/>
        <v>8h 30m</v>
      </c>
      <c r="V226" s="126">
        <f t="shared" si="19"/>
        <v>67</v>
      </c>
      <c r="W226" s="70" t="s">
        <v>2020</v>
      </c>
      <c r="X226" s="26" t="b">
        <f t="shared" si="20"/>
        <v>1</v>
      </c>
    </row>
    <row r="227" spans="2:24">
      <c r="B227" s="539" t="s">
        <v>2088</v>
      </c>
      <c r="C227" s="526"/>
      <c r="D227" s="526"/>
      <c r="E227" s="526"/>
      <c r="F227" s="540"/>
    </row>
    <row r="228" spans="2:24">
      <c r="B228" s="539" t="s">
        <v>2089</v>
      </c>
      <c r="C228" s="526"/>
      <c r="D228" s="526"/>
      <c r="E228" s="526"/>
      <c r="F228" s="540"/>
    </row>
    <row r="229" spans="2:24">
      <c r="B229" s="539" t="s">
        <v>2090</v>
      </c>
      <c r="C229" s="526"/>
      <c r="D229" s="526"/>
      <c r="E229" s="526"/>
      <c r="F229" s="540"/>
      <c r="H229" s="6"/>
    </row>
    <row r="230" spans="2:24">
      <c r="B230" s="539" t="s">
        <v>2091</v>
      </c>
      <c r="C230" s="526"/>
      <c r="D230" s="526"/>
      <c r="E230" s="526"/>
      <c r="F230" s="540"/>
      <c r="H230" s="397">
        <v>1</v>
      </c>
      <c r="I230" s="398">
        <f>FIND("Tokyo",E252)</f>
        <v>1</v>
      </c>
    </row>
    <row r="231" spans="2:24">
      <c r="B231" s="539" t="s">
        <v>2092</v>
      </c>
      <c r="C231" s="526"/>
      <c r="D231" s="526"/>
      <c r="E231" s="526"/>
      <c r="F231" s="540"/>
      <c r="H231" s="23">
        <v>2</v>
      </c>
      <c r="I231" s="24">
        <f>SEARCH("Sydney",E253)</f>
        <v>1</v>
      </c>
    </row>
    <row r="232" spans="2:24">
      <c r="B232" s="539" t="s">
        <v>2093</v>
      </c>
      <c r="C232" s="526"/>
      <c r="D232" s="526"/>
      <c r="E232" s="526"/>
      <c r="F232" s="540"/>
      <c r="H232" s="23">
        <v>3</v>
      </c>
      <c r="I232" s="24" t="str">
        <f ca="1">_xlfn.FORMULATEXT(H217)</f>
        <v>=LEFT(C249,2)</v>
      </c>
    </row>
    <row r="233" spans="2:24">
      <c r="B233" s="539" t="s">
        <v>2094</v>
      </c>
      <c r="C233" s="526"/>
      <c r="D233" s="526"/>
      <c r="E233" s="526"/>
      <c r="F233" s="540"/>
      <c r="H233" s="23">
        <v>4</v>
      </c>
      <c r="I233" s="24" t="str">
        <f>REPT("*",5)</f>
        <v>*****</v>
      </c>
    </row>
    <row r="234" spans="2:24">
      <c r="B234" s="539" t="s">
        <v>2095</v>
      </c>
      <c r="C234" s="526"/>
      <c r="D234" s="526"/>
      <c r="E234" s="526"/>
      <c r="F234" s="540"/>
      <c r="H234" s="23">
        <v>5</v>
      </c>
      <c r="I234" s="24" t="str">
        <f>SUBSTITUTE(H249,"Economy","STANDARD")</f>
        <v>STANDARD</v>
      </c>
    </row>
    <row r="235" spans="2:24">
      <c r="B235" s="539" t="s">
        <v>2096</v>
      </c>
      <c r="C235" s="526"/>
      <c r="D235" s="526"/>
      <c r="E235" s="526"/>
      <c r="F235" s="540"/>
      <c r="H235" s="23">
        <v>6</v>
      </c>
      <c r="I235" s="24" t="str">
        <f>REPLACE(C249,1,2,"XX")</f>
        <v>XX1234</v>
      </c>
    </row>
    <row r="236" spans="2:24">
      <c r="B236" s="539" t="s">
        <v>2097</v>
      </c>
      <c r="C236" s="526"/>
      <c r="D236" s="526"/>
      <c r="E236" s="526"/>
      <c r="F236" s="540"/>
      <c r="H236" s="23">
        <v>7</v>
      </c>
      <c r="I236" s="24">
        <f>_xlfn.NUMBERVALUE(I251,2)</f>
        <v>1</v>
      </c>
    </row>
    <row r="237" spans="2:24">
      <c r="B237" s="539" t="s">
        <v>2098</v>
      </c>
      <c r="C237" s="526"/>
      <c r="D237" s="526"/>
      <c r="E237" s="526"/>
      <c r="F237" s="540"/>
      <c r="H237" s="23">
        <v>8</v>
      </c>
      <c r="I237" s="24" t="str">
        <f>BAHTTEXT(1200)</f>
        <v>หนึ่งพันสองร้อยบาทถ้วน</v>
      </c>
    </row>
    <row r="238" spans="2:24">
      <c r="B238" s="539" t="s">
        <v>2099</v>
      </c>
      <c r="C238" s="526"/>
      <c r="D238" s="526"/>
      <c r="E238" s="526"/>
      <c r="F238" s="540"/>
      <c r="H238" s="25">
        <v>9</v>
      </c>
      <c r="I238" s="26">
        <f>VALUE(I249)</f>
        <v>350</v>
      </c>
      <c r="Q238" s="375"/>
    </row>
    <row r="239" spans="2:24">
      <c r="B239" s="539" t="s">
        <v>2100</v>
      </c>
      <c r="C239" s="526"/>
      <c r="D239" s="526"/>
      <c r="E239" s="526"/>
      <c r="F239" s="540"/>
      <c r="Q239" s="375"/>
    </row>
    <row r="240" spans="2:24">
      <c r="B240" s="539" t="s">
        <v>2101</v>
      </c>
      <c r="C240" s="526"/>
      <c r="D240" s="526"/>
      <c r="E240" s="526"/>
      <c r="F240" s="540"/>
      <c r="Q240" s="375"/>
    </row>
    <row r="241" spans="2:12">
      <c r="B241" s="539" t="s">
        <v>2102</v>
      </c>
      <c r="C241" s="526"/>
      <c r="D241" s="526"/>
      <c r="E241" s="526"/>
      <c r="F241" s="540"/>
      <c r="L241" s="375"/>
    </row>
    <row r="242" spans="2:12">
      <c r="B242" s="539" t="s">
        <v>2103</v>
      </c>
      <c r="C242" s="526"/>
      <c r="D242" s="526"/>
      <c r="E242" s="526"/>
      <c r="F242" s="540"/>
    </row>
    <row r="243" spans="2:12">
      <c r="B243" s="549" t="s">
        <v>2104</v>
      </c>
      <c r="C243" s="550"/>
      <c r="D243" s="550"/>
      <c r="E243" s="550"/>
      <c r="F243" s="551"/>
    </row>
    <row r="246" spans="2:12" ht="28.5">
      <c r="B246" s="396" t="s">
        <v>2007</v>
      </c>
    </row>
    <row r="248" spans="2:12">
      <c r="B248" s="393" t="s">
        <v>2008</v>
      </c>
      <c r="C248" s="394" t="s">
        <v>2009</v>
      </c>
      <c r="D248" s="394" t="s">
        <v>2010</v>
      </c>
      <c r="E248" s="394" t="s">
        <v>2011</v>
      </c>
      <c r="F248" s="394" t="s">
        <v>2012</v>
      </c>
      <c r="G248" s="394" t="s">
        <v>478</v>
      </c>
      <c r="H248" s="394" t="s">
        <v>2013</v>
      </c>
      <c r="I248" s="394" t="s">
        <v>999</v>
      </c>
      <c r="J248" s="394" t="s">
        <v>2014</v>
      </c>
      <c r="K248" s="395" t="s">
        <v>964</v>
      </c>
    </row>
    <row r="249" spans="2:12">
      <c r="B249" s="248" t="s">
        <v>1440</v>
      </c>
      <c r="C249" s="162" t="s">
        <v>2015</v>
      </c>
      <c r="D249" s="249">
        <v>45519</v>
      </c>
      <c r="E249" s="162" t="s">
        <v>443</v>
      </c>
      <c r="F249" s="162" t="s">
        <v>2016</v>
      </c>
      <c r="G249" s="162" t="s">
        <v>2017</v>
      </c>
      <c r="H249" s="162" t="s">
        <v>2018</v>
      </c>
      <c r="I249" s="162">
        <v>350</v>
      </c>
      <c r="J249" s="162" t="s">
        <v>2019</v>
      </c>
      <c r="K249" s="251" t="s">
        <v>2020</v>
      </c>
    </row>
    <row r="250" spans="2:12">
      <c r="B250" s="248" t="s">
        <v>2021</v>
      </c>
      <c r="C250" s="162" t="s">
        <v>2022</v>
      </c>
      <c r="D250" s="249">
        <v>45555</v>
      </c>
      <c r="E250" s="162" t="s">
        <v>2023</v>
      </c>
      <c r="F250" s="162" t="s">
        <v>2024</v>
      </c>
      <c r="G250" s="162" t="s">
        <v>2025</v>
      </c>
      <c r="H250" s="162" t="s">
        <v>2026</v>
      </c>
      <c r="I250" s="162">
        <v>850</v>
      </c>
      <c r="J250" s="162" t="s">
        <v>2027</v>
      </c>
      <c r="K250" s="251" t="s">
        <v>2020</v>
      </c>
    </row>
    <row r="251" spans="2:12">
      <c r="B251" s="248" t="s">
        <v>2028</v>
      </c>
      <c r="C251" s="162" t="s">
        <v>2029</v>
      </c>
      <c r="D251" s="249">
        <v>45570</v>
      </c>
      <c r="E251" s="162" t="s">
        <v>2030</v>
      </c>
      <c r="F251" s="162" t="s">
        <v>2031</v>
      </c>
      <c r="G251" s="162" t="s">
        <v>2032</v>
      </c>
      <c r="H251" s="162" t="s">
        <v>2033</v>
      </c>
      <c r="I251" s="162">
        <v>1200</v>
      </c>
      <c r="J251" s="162" t="s">
        <v>2034</v>
      </c>
      <c r="K251" s="251" t="s">
        <v>2035</v>
      </c>
    </row>
    <row r="252" spans="2:12">
      <c r="B252" s="248" t="s">
        <v>2036</v>
      </c>
      <c r="C252" s="162" t="s">
        <v>2037</v>
      </c>
      <c r="D252" s="249">
        <v>45621</v>
      </c>
      <c r="E252" s="162" t="s">
        <v>2038</v>
      </c>
      <c r="F252" s="162" t="s">
        <v>2039</v>
      </c>
      <c r="G252" s="162" t="s">
        <v>2040</v>
      </c>
      <c r="H252" s="162" t="s">
        <v>2018</v>
      </c>
      <c r="I252" s="162">
        <v>500</v>
      </c>
      <c r="J252" s="162" t="s">
        <v>2041</v>
      </c>
      <c r="K252" s="251" t="s">
        <v>2020</v>
      </c>
    </row>
    <row r="253" spans="2:12">
      <c r="B253" s="248" t="s">
        <v>2042</v>
      </c>
      <c r="C253" s="162" t="s">
        <v>2043</v>
      </c>
      <c r="D253" s="249">
        <v>45656</v>
      </c>
      <c r="E253" s="162" t="s">
        <v>2044</v>
      </c>
      <c r="F253" s="162" t="s">
        <v>2045</v>
      </c>
      <c r="G253" s="162" t="s">
        <v>2046</v>
      </c>
      <c r="H253" s="162" t="s">
        <v>2026</v>
      </c>
      <c r="I253" s="162">
        <v>900</v>
      </c>
      <c r="J253" s="162" t="s">
        <v>2047</v>
      </c>
      <c r="K253" s="251" t="s">
        <v>2020</v>
      </c>
    </row>
    <row r="254" spans="2:12">
      <c r="B254" s="248" t="s">
        <v>2048</v>
      </c>
      <c r="C254" s="162" t="s">
        <v>2049</v>
      </c>
      <c r="D254" s="249">
        <v>45524</v>
      </c>
      <c r="E254" s="162" t="s">
        <v>1202</v>
      </c>
      <c r="F254" s="162" t="s">
        <v>2050</v>
      </c>
      <c r="G254" s="162" t="s">
        <v>2051</v>
      </c>
      <c r="H254" s="162" t="s">
        <v>2018</v>
      </c>
      <c r="I254" s="162">
        <v>300</v>
      </c>
      <c r="J254" s="162" t="s">
        <v>2052</v>
      </c>
      <c r="K254" s="251" t="s">
        <v>2020</v>
      </c>
    </row>
    <row r="255" spans="2:12">
      <c r="B255" s="248" t="s">
        <v>2053</v>
      </c>
      <c r="C255" s="162" t="s">
        <v>2054</v>
      </c>
      <c r="D255" s="249">
        <v>45560</v>
      </c>
      <c r="E255" s="162" t="s">
        <v>2055</v>
      </c>
      <c r="F255" s="162" t="s">
        <v>2056</v>
      </c>
      <c r="G255" s="162" t="s">
        <v>2057</v>
      </c>
      <c r="H255" s="162" t="s">
        <v>2033</v>
      </c>
      <c r="I255" s="162">
        <v>1300</v>
      </c>
      <c r="J255" s="162" t="s">
        <v>2058</v>
      </c>
      <c r="K255" s="251" t="s">
        <v>2020</v>
      </c>
    </row>
    <row r="256" spans="2:12">
      <c r="B256" s="248" t="s">
        <v>2059</v>
      </c>
      <c r="C256" s="162" t="s">
        <v>2060</v>
      </c>
      <c r="D256" s="249">
        <v>45575</v>
      </c>
      <c r="E256" s="162" t="s">
        <v>2061</v>
      </c>
      <c r="F256" s="162" t="s">
        <v>2062</v>
      </c>
      <c r="G256" s="162" t="s">
        <v>2063</v>
      </c>
      <c r="H256" s="162" t="s">
        <v>2026</v>
      </c>
      <c r="I256" s="162">
        <v>700</v>
      </c>
      <c r="J256" s="162" t="s">
        <v>2064</v>
      </c>
      <c r="K256" s="251" t="s">
        <v>2020</v>
      </c>
    </row>
    <row r="257" spans="2:11">
      <c r="B257" s="248" t="s">
        <v>2065</v>
      </c>
      <c r="C257" s="162" t="s">
        <v>2066</v>
      </c>
      <c r="D257" s="249">
        <v>45626</v>
      </c>
      <c r="E257" s="162" t="s">
        <v>2067</v>
      </c>
      <c r="F257" s="162" t="s">
        <v>2068</v>
      </c>
      <c r="G257" s="162" t="s">
        <v>2069</v>
      </c>
      <c r="H257" s="162" t="s">
        <v>2018</v>
      </c>
      <c r="I257" s="162">
        <v>400</v>
      </c>
      <c r="J257" s="162" t="s">
        <v>2070</v>
      </c>
      <c r="K257" s="251" t="s">
        <v>2035</v>
      </c>
    </row>
    <row r="258" spans="2:11">
      <c r="B258" s="172" t="s">
        <v>2071</v>
      </c>
      <c r="C258" s="252" t="s">
        <v>2072</v>
      </c>
      <c r="D258" s="253">
        <v>45631</v>
      </c>
      <c r="E258" s="252" t="s">
        <v>2073</v>
      </c>
      <c r="F258" s="252" t="s">
        <v>2074</v>
      </c>
      <c r="G258" s="252" t="s">
        <v>2075</v>
      </c>
      <c r="H258" s="252" t="s">
        <v>2033</v>
      </c>
      <c r="I258" s="252">
        <v>1100</v>
      </c>
      <c r="J258" s="252" t="s">
        <v>2076</v>
      </c>
      <c r="K258" s="255" t="s">
        <v>2020</v>
      </c>
    </row>
    <row r="273" spans="17:17">
      <c r="Q273" s="375"/>
    </row>
    <row r="274" spans="17:17">
      <c r="Q274" s="375"/>
    </row>
    <row r="275" spans="17:17">
      <c r="Q275" s="375"/>
    </row>
    <row r="276" spans="17:17">
      <c r="Q276" s="375"/>
    </row>
    <row r="277" spans="17:17">
      <c r="Q277" s="375"/>
    </row>
    <row r="278" spans="17:17">
      <c r="Q278" s="375"/>
    </row>
    <row r="279" spans="17:17">
      <c r="Q279" s="375"/>
    </row>
    <row r="280" spans="17:17">
      <c r="Q280" s="375"/>
    </row>
    <row r="281" spans="17:17">
      <c r="Q281" s="375"/>
    </row>
    <row r="282" spans="17:17">
      <c r="Q282" s="375"/>
    </row>
    <row r="283" spans="17:17">
      <c r="Q283" s="375"/>
    </row>
    <row r="284" spans="17:17">
      <c r="Q284" s="375"/>
    </row>
    <row r="285" spans="17:17">
      <c r="Q285" s="375"/>
    </row>
    <row r="286" spans="17:17">
      <c r="Q286" s="375"/>
    </row>
    <row r="287" spans="17:17">
      <c r="Q287" s="375"/>
    </row>
    <row r="288" spans="17:17">
      <c r="Q288" s="375"/>
    </row>
    <row r="289" spans="17:17">
      <c r="Q289" s="375"/>
    </row>
    <row r="290" spans="17:17">
      <c r="Q290" s="375"/>
    </row>
    <row r="291" spans="17:17">
      <c r="Q291" s="375"/>
    </row>
    <row r="292" spans="17:17">
      <c r="Q292" s="375"/>
    </row>
    <row r="293" spans="17:17">
      <c r="Q293" s="375"/>
    </row>
    <row r="294" spans="17:17">
      <c r="Q294" s="375"/>
    </row>
    <row r="295" spans="17:17">
      <c r="Q295" s="375"/>
    </row>
    <row r="296" spans="17:17">
      <c r="Q296" s="375"/>
    </row>
    <row r="297" spans="17:17">
      <c r="Q297" s="375"/>
    </row>
    <row r="298" spans="17:17">
      <c r="Q298" s="375"/>
    </row>
    <row r="299" spans="17:17">
      <c r="Q299" s="375"/>
    </row>
    <row r="300" spans="17:17">
      <c r="Q300" s="375"/>
    </row>
    <row r="301" spans="17:17">
      <c r="Q301" s="375"/>
    </row>
  </sheetData>
  <scenarios current="0" show="0">
    <scenario name="change in cost" locked="1" count="1" user="hp" comment="Created by hp on 29-07-2024_x000a_Modified by hp on 29-07-2024">
      <inputCells r="I112" val="438690" numFmtId="3"/>
    </scenario>
  </scenarios>
  <mergeCells count="150">
    <mergeCell ref="B141:E141"/>
    <mergeCell ref="B142:E142"/>
    <mergeCell ref="B77:K77"/>
    <mergeCell ref="B78:K78"/>
    <mergeCell ref="B145:D145"/>
    <mergeCell ref="B136:E136"/>
    <mergeCell ref="B137:E137"/>
    <mergeCell ref="B138:E138"/>
    <mergeCell ref="B139:E139"/>
    <mergeCell ref="B140:E140"/>
    <mergeCell ref="B131:E131"/>
    <mergeCell ref="B132:E132"/>
    <mergeCell ref="B133:E133"/>
    <mergeCell ref="B134:E134"/>
    <mergeCell ref="B135:E135"/>
    <mergeCell ref="I110:K110"/>
    <mergeCell ref="I82:K82"/>
    <mergeCell ref="I114:K114"/>
    <mergeCell ref="I117:K117"/>
    <mergeCell ref="I119:K119"/>
    <mergeCell ref="B122:E122"/>
    <mergeCell ref="B123:E123"/>
    <mergeCell ref="B124:E124"/>
    <mergeCell ref="B125:E125"/>
    <mergeCell ref="B126:E126"/>
    <mergeCell ref="B127:E127"/>
    <mergeCell ref="B128:E128"/>
    <mergeCell ref="B129:E129"/>
    <mergeCell ref="B130:E130"/>
    <mergeCell ref="B113:E113"/>
    <mergeCell ref="B114:E114"/>
    <mergeCell ref="B115:E115"/>
    <mergeCell ref="B116:E116"/>
    <mergeCell ref="B117:E117"/>
    <mergeCell ref="B118:E118"/>
    <mergeCell ref="B119:E119"/>
    <mergeCell ref="B120:E120"/>
    <mergeCell ref="B121:E121"/>
    <mergeCell ref="B104:E104"/>
    <mergeCell ref="B105:E105"/>
    <mergeCell ref="B106:E106"/>
    <mergeCell ref="B107:E107"/>
    <mergeCell ref="B108:E108"/>
    <mergeCell ref="B109:E109"/>
    <mergeCell ref="B110:E110"/>
    <mergeCell ref="B111:E111"/>
    <mergeCell ref="B112:E112"/>
    <mergeCell ref="B99:E99"/>
    <mergeCell ref="B100:E100"/>
    <mergeCell ref="B101:E101"/>
    <mergeCell ref="B102:E102"/>
    <mergeCell ref="B103:E103"/>
    <mergeCell ref="B91:E91"/>
    <mergeCell ref="B92:E92"/>
    <mergeCell ref="B93:E93"/>
    <mergeCell ref="B94:E94"/>
    <mergeCell ref="B95:E95"/>
    <mergeCell ref="B96:E96"/>
    <mergeCell ref="B97:E97"/>
    <mergeCell ref="B98:E98"/>
    <mergeCell ref="B82:E82"/>
    <mergeCell ref="B83:E83"/>
    <mergeCell ref="B84:E84"/>
    <mergeCell ref="B85:E85"/>
    <mergeCell ref="B86:E86"/>
    <mergeCell ref="B87:E87"/>
    <mergeCell ref="B88:E88"/>
    <mergeCell ref="B89:E89"/>
    <mergeCell ref="B90:E90"/>
    <mergeCell ref="B81:E81"/>
    <mergeCell ref="K4:M4"/>
    <mergeCell ref="B14:H14"/>
    <mergeCell ref="B15:H15"/>
    <mergeCell ref="B16:H16"/>
    <mergeCell ref="B17:H17"/>
    <mergeCell ref="B18:H18"/>
    <mergeCell ref="B19:H19"/>
    <mergeCell ref="B4:H4"/>
    <mergeCell ref="B5:H5"/>
    <mergeCell ref="AK75:AS75"/>
    <mergeCell ref="B6:H6"/>
    <mergeCell ref="B7:H7"/>
    <mergeCell ref="B8:H8"/>
    <mergeCell ref="B9:H9"/>
    <mergeCell ref="B22:H22"/>
    <mergeCell ref="B23:H23"/>
    <mergeCell ref="B24:H24"/>
    <mergeCell ref="B25:H25"/>
    <mergeCell ref="B20:H20"/>
    <mergeCell ref="B21:H21"/>
    <mergeCell ref="B10:H10"/>
    <mergeCell ref="B11:H11"/>
    <mergeCell ref="B12:H12"/>
    <mergeCell ref="B13:H13"/>
    <mergeCell ref="B26:H26"/>
    <mergeCell ref="X29:Z29"/>
    <mergeCell ref="I108:K108"/>
    <mergeCell ref="G81:K81"/>
    <mergeCell ref="Z146:AA146"/>
    <mergeCell ref="I103:K103"/>
    <mergeCell ref="I104:K104"/>
    <mergeCell ref="I105:K105"/>
    <mergeCell ref="I106:K106"/>
    <mergeCell ref="I107:K107"/>
    <mergeCell ref="I99:K99"/>
    <mergeCell ref="I100:K100"/>
    <mergeCell ref="I101:K101"/>
    <mergeCell ref="I102:K102"/>
    <mergeCell ref="I98:K98"/>
    <mergeCell ref="I93:K93"/>
    <mergeCell ref="I83:K83"/>
    <mergeCell ref="I84:K84"/>
    <mergeCell ref="I85:K85"/>
    <mergeCell ref="I86:K86"/>
    <mergeCell ref="I87:K87"/>
    <mergeCell ref="I88:K88"/>
    <mergeCell ref="I89:K89"/>
    <mergeCell ref="I90:K90"/>
    <mergeCell ref="I91:K91"/>
    <mergeCell ref="I92:K92"/>
    <mergeCell ref="B241:F241"/>
    <mergeCell ref="B242:F242"/>
    <mergeCell ref="B243:F243"/>
    <mergeCell ref="B226:F226"/>
    <mergeCell ref="B227:F227"/>
    <mergeCell ref="B228:F228"/>
    <mergeCell ref="B229:F229"/>
    <mergeCell ref="B230:F230"/>
    <mergeCell ref="B231:F231"/>
    <mergeCell ref="B232:F232"/>
    <mergeCell ref="B233:F233"/>
    <mergeCell ref="B234:F234"/>
    <mergeCell ref="B215:F215"/>
    <mergeCell ref="B216:F216"/>
    <mergeCell ref="H215:X215"/>
    <mergeCell ref="B235:F235"/>
    <mergeCell ref="B236:F236"/>
    <mergeCell ref="B237:F237"/>
    <mergeCell ref="B238:F238"/>
    <mergeCell ref="B239:F239"/>
    <mergeCell ref="B240:F240"/>
    <mergeCell ref="B217:F217"/>
    <mergeCell ref="B218:F218"/>
    <mergeCell ref="B219:F219"/>
    <mergeCell ref="B220:F220"/>
    <mergeCell ref="B221:F221"/>
    <mergeCell ref="B222:F222"/>
    <mergeCell ref="B223:F223"/>
    <mergeCell ref="B224:F224"/>
    <mergeCell ref="B225:F225"/>
  </mergeCells>
  <phoneticPr fontId="8" type="noConversion"/>
  <conditionalFormatting sqref="K95:K97">
    <cfRule type="dataBar" priority="2">
      <dataBar>
        <cfvo type="min"/>
        <cfvo type="max"/>
        <color rgb="FF63C384"/>
      </dataBar>
      <extLst>
        <ext xmlns:x14="http://schemas.microsoft.com/office/spreadsheetml/2009/9/main" uri="{B025F937-C7B1-47D3-B67F-A62EFF666E3E}">
          <x14:id>{C0016F0A-5FA2-4C7B-B824-7C503E1CAD4A}</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C0016F0A-5FA2-4C7B-B824-7C503E1CAD4A}">
            <x14:dataBar minLength="0" maxLength="100" border="1" negativeBarBorderColorSameAsPositive="0">
              <x14:cfvo type="autoMin"/>
              <x14:cfvo type="autoMax"/>
              <x14:borderColor rgb="FF63C384"/>
              <x14:negativeFillColor rgb="FFFF0000"/>
              <x14:negativeBorderColor rgb="FFFF0000"/>
              <x14:axisColor rgb="FF000000"/>
            </x14:dataBar>
          </x14:cfRule>
          <xm:sqref>K95:K97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663C-C851-4B2D-9233-72455C6CF5D8}">
  <sheetPr codeName="Sheet17"/>
  <dimension ref="B2:K100"/>
  <sheetViews>
    <sheetView topLeftCell="B1" zoomScale="108" zoomScaleNormal="97" workbookViewId="0">
      <selection activeCell="J73" sqref="J73"/>
    </sheetView>
  </sheetViews>
  <sheetFormatPr defaultRowHeight="15"/>
  <cols>
    <col min="2" max="2" width="25.7109375" customWidth="1"/>
    <col min="3" max="3" width="40.7109375" customWidth="1"/>
    <col min="4" max="10" width="25.7109375" customWidth="1"/>
    <col min="11" max="11" width="50.7109375" customWidth="1"/>
  </cols>
  <sheetData>
    <row r="2" spans="2:11" ht="15.75" thickBot="1"/>
    <row r="3" spans="2:11" ht="29.25" thickBot="1">
      <c r="B3" s="484" t="s">
        <v>926</v>
      </c>
      <c r="C3" s="485"/>
      <c r="D3" s="485"/>
      <c r="E3" s="485"/>
      <c r="F3" s="485"/>
      <c r="G3" s="486"/>
      <c r="H3" s="295"/>
    </row>
    <row r="5" spans="2:11" ht="28.5">
      <c r="B5" s="487" t="s">
        <v>1803</v>
      </c>
      <c r="C5" s="488"/>
      <c r="D5" s="488"/>
      <c r="E5" s="488"/>
      <c r="F5" s="488"/>
      <c r="G5" s="490"/>
      <c r="H5" s="310"/>
      <c r="K5" s="304" t="s">
        <v>933</v>
      </c>
    </row>
    <row r="7" spans="2:11">
      <c r="K7" t="s">
        <v>2006</v>
      </c>
    </row>
    <row r="8" spans="2:11">
      <c r="B8" s="6" t="s">
        <v>1</v>
      </c>
      <c r="C8" s="6" t="s">
        <v>1804</v>
      </c>
      <c r="D8" s="6" t="s">
        <v>1805</v>
      </c>
      <c r="E8" s="6" t="s">
        <v>1806</v>
      </c>
      <c r="F8" s="6" t="s">
        <v>1807</v>
      </c>
      <c r="G8" s="6" t="s">
        <v>1808</v>
      </c>
      <c r="H8" s="6" t="s">
        <v>1809</v>
      </c>
      <c r="I8" s="6" t="s">
        <v>1810</v>
      </c>
      <c r="J8" s="6"/>
      <c r="K8" t="s">
        <v>2005</v>
      </c>
    </row>
    <row r="9" spans="2:11">
      <c r="B9" s="6" t="s">
        <v>1811</v>
      </c>
      <c r="C9" s="6" t="s">
        <v>1812</v>
      </c>
      <c r="D9" s="6" t="s">
        <v>1813</v>
      </c>
      <c r="E9" s="392">
        <v>44909</v>
      </c>
      <c r="F9" s="6">
        <v>500</v>
      </c>
      <c r="G9" s="6" t="s">
        <v>1814</v>
      </c>
      <c r="H9" s="6">
        <v>44958</v>
      </c>
      <c r="I9" s="6" t="s">
        <v>1815</v>
      </c>
      <c r="J9" s="6"/>
    </row>
    <row r="10" spans="2:11">
      <c r="B10" s="6" t="s">
        <v>1816</v>
      </c>
      <c r="C10" s="6" t="s">
        <v>1817</v>
      </c>
      <c r="D10" s="6" t="s">
        <v>1818</v>
      </c>
      <c r="E10" s="392">
        <v>44925</v>
      </c>
      <c r="F10" s="6">
        <v>500</v>
      </c>
      <c r="G10" s="6" t="s">
        <v>1819</v>
      </c>
      <c r="H10" s="6">
        <v>45017</v>
      </c>
      <c r="I10" s="6" t="s">
        <v>1815</v>
      </c>
      <c r="J10" s="6"/>
    </row>
    <row r="11" spans="2:11">
      <c r="B11" s="6" t="s">
        <v>1820</v>
      </c>
      <c r="C11" s="6" t="s">
        <v>1821</v>
      </c>
      <c r="D11" s="6" t="s">
        <v>1822</v>
      </c>
      <c r="E11" s="392">
        <v>44899</v>
      </c>
      <c r="F11" s="6">
        <v>500</v>
      </c>
      <c r="G11" s="6" t="s">
        <v>1823</v>
      </c>
      <c r="H11" s="6">
        <v>44958</v>
      </c>
      <c r="I11" s="6" t="s">
        <v>1815</v>
      </c>
      <c r="J11" s="6"/>
    </row>
    <row r="12" spans="2:11">
      <c r="B12" s="6" t="s">
        <v>1824</v>
      </c>
      <c r="C12" s="6" t="s">
        <v>1825</v>
      </c>
      <c r="D12" s="6" t="s">
        <v>1826</v>
      </c>
      <c r="E12" s="392">
        <v>44902</v>
      </c>
      <c r="F12" s="6">
        <v>500</v>
      </c>
      <c r="G12" s="6" t="s">
        <v>1827</v>
      </c>
      <c r="H12" s="6">
        <v>44958</v>
      </c>
      <c r="I12" s="6" t="s">
        <v>1815</v>
      </c>
      <c r="J12" s="6"/>
    </row>
    <row r="13" spans="2:11">
      <c r="B13" s="6" t="s">
        <v>1828</v>
      </c>
      <c r="C13" s="6" t="s">
        <v>1829</v>
      </c>
      <c r="D13" s="6" t="s">
        <v>1818</v>
      </c>
      <c r="E13" s="392">
        <v>44925</v>
      </c>
      <c r="F13" s="6">
        <v>100</v>
      </c>
      <c r="G13" s="6" t="s">
        <v>1830</v>
      </c>
      <c r="H13" s="6">
        <v>45017</v>
      </c>
      <c r="I13" s="6" t="s">
        <v>1831</v>
      </c>
      <c r="J13" s="6"/>
    </row>
    <row r="14" spans="2:11">
      <c r="B14" s="6" t="s">
        <v>1832</v>
      </c>
      <c r="C14" s="6" t="s">
        <v>1833</v>
      </c>
      <c r="D14" s="6" t="s">
        <v>1826</v>
      </c>
      <c r="E14" s="392">
        <v>44917</v>
      </c>
      <c r="F14" s="6">
        <v>500</v>
      </c>
      <c r="G14" s="6" t="s">
        <v>1834</v>
      </c>
      <c r="H14" s="6">
        <v>45017</v>
      </c>
      <c r="I14" s="6" t="s">
        <v>1815</v>
      </c>
      <c r="J14" s="6"/>
    </row>
    <row r="15" spans="2:11">
      <c r="B15" s="6" t="s">
        <v>1835</v>
      </c>
      <c r="C15" s="6" t="s">
        <v>1836</v>
      </c>
      <c r="D15" s="6" t="s">
        <v>1826</v>
      </c>
      <c r="E15" s="392">
        <v>44902</v>
      </c>
      <c r="F15" s="6">
        <v>500</v>
      </c>
      <c r="G15" s="6" t="s">
        <v>1837</v>
      </c>
      <c r="H15" s="6">
        <v>44958</v>
      </c>
      <c r="I15" s="6" t="s">
        <v>1815</v>
      </c>
      <c r="J15" s="6"/>
    </row>
    <row r="16" spans="2:11">
      <c r="B16" s="6" t="s">
        <v>1838</v>
      </c>
      <c r="C16" s="6" t="s">
        <v>1839</v>
      </c>
      <c r="D16" s="6" t="s">
        <v>1818</v>
      </c>
      <c r="E16" s="392">
        <v>44897</v>
      </c>
      <c r="F16" s="6">
        <v>500</v>
      </c>
      <c r="G16" s="6" t="s">
        <v>1840</v>
      </c>
      <c r="H16" s="6">
        <v>44958</v>
      </c>
      <c r="I16" s="6" t="s">
        <v>1815</v>
      </c>
      <c r="J16" s="6"/>
    </row>
    <row r="17" spans="2:11">
      <c r="B17" s="6" t="s">
        <v>1841</v>
      </c>
      <c r="C17" s="6" t="s">
        <v>1842</v>
      </c>
      <c r="D17" s="6" t="s">
        <v>1818</v>
      </c>
      <c r="E17" s="392">
        <v>44905</v>
      </c>
      <c r="F17" s="6">
        <v>500</v>
      </c>
      <c r="G17" s="6" t="s">
        <v>1843</v>
      </c>
      <c r="H17" s="6">
        <v>44958</v>
      </c>
      <c r="I17" s="6" t="s">
        <v>1815</v>
      </c>
      <c r="J17" s="6"/>
    </row>
    <row r="18" spans="2:11">
      <c r="B18" s="6" t="s">
        <v>1844</v>
      </c>
      <c r="C18" s="6" t="s">
        <v>1845</v>
      </c>
      <c r="D18" s="6" t="s">
        <v>1818</v>
      </c>
      <c r="E18" s="392">
        <v>44916</v>
      </c>
      <c r="F18" s="6">
        <v>500</v>
      </c>
      <c r="G18" s="6" t="s">
        <v>1846</v>
      </c>
      <c r="H18" s="6">
        <v>45017</v>
      </c>
      <c r="I18" s="6" t="s">
        <v>1815</v>
      </c>
      <c r="J18" s="6"/>
      <c r="K18" s="9" t="s">
        <v>2163</v>
      </c>
    </row>
    <row r="19" spans="2:11">
      <c r="B19" s="6" t="s">
        <v>1847</v>
      </c>
      <c r="C19" s="6" t="s">
        <v>1848</v>
      </c>
      <c r="D19" s="6" t="s">
        <v>1813</v>
      </c>
      <c r="E19" s="392">
        <v>44921</v>
      </c>
      <c r="F19" s="6">
        <v>250</v>
      </c>
      <c r="G19" s="6" t="s">
        <v>1837</v>
      </c>
      <c r="H19" s="6">
        <v>45017</v>
      </c>
      <c r="I19" s="6" t="s">
        <v>1831</v>
      </c>
      <c r="J19" s="6"/>
      <c r="K19" t="s">
        <v>2156</v>
      </c>
    </row>
    <row r="20" spans="2:11">
      <c r="B20" s="6" t="s">
        <v>1849</v>
      </c>
      <c r="C20" s="6" t="s">
        <v>1850</v>
      </c>
      <c r="D20" s="6" t="s">
        <v>1813</v>
      </c>
      <c r="E20" s="392">
        <v>44912</v>
      </c>
      <c r="F20" s="6">
        <v>500</v>
      </c>
      <c r="G20" s="6" t="s">
        <v>1851</v>
      </c>
      <c r="H20" s="6">
        <v>45017</v>
      </c>
      <c r="I20" s="6" t="s">
        <v>1815</v>
      </c>
      <c r="J20" s="6"/>
      <c r="K20" t="s">
        <v>2157</v>
      </c>
    </row>
    <row r="21" spans="2:11">
      <c r="B21" s="6" t="s">
        <v>1852</v>
      </c>
      <c r="C21" s="6" t="s">
        <v>1853</v>
      </c>
      <c r="D21" s="6" t="s">
        <v>1818</v>
      </c>
      <c r="E21" s="392">
        <v>44910</v>
      </c>
      <c r="F21" s="6">
        <v>250</v>
      </c>
      <c r="G21" s="6" t="s">
        <v>1854</v>
      </c>
      <c r="H21" s="6">
        <v>45017</v>
      </c>
      <c r="I21" s="6" t="s">
        <v>1831</v>
      </c>
      <c r="J21" s="6"/>
      <c r="K21" t="s">
        <v>2158</v>
      </c>
    </row>
    <row r="22" spans="2:11">
      <c r="B22" s="6" t="s">
        <v>1855</v>
      </c>
      <c r="C22" s="6" t="s">
        <v>1856</v>
      </c>
      <c r="D22" s="6" t="s">
        <v>1818</v>
      </c>
      <c r="E22" s="392">
        <v>44898</v>
      </c>
      <c r="F22" s="6">
        <v>500</v>
      </c>
      <c r="G22" s="6" t="s">
        <v>1857</v>
      </c>
      <c r="H22" s="6">
        <v>44958</v>
      </c>
      <c r="I22" s="6" t="s">
        <v>1815</v>
      </c>
      <c r="J22" s="6"/>
      <c r="K22" t="s">
        <v>2159</v>
      </c>
    </row>
    <row r="23" spans="2:11">
      <c r="B23" s="6" t="s">
        <v>1858</v>
      </c>
      <c r="C23" s="6" t="s">
        <v>1859</v>
      </c>
      <c r="D23" s="6" t="s">
        <v>1818</v>
      </c>
      <c r="E23" s="392">
        <v>44919</v>
      </c>
      <c r="F23" s="6">
        <v>500</v>
      </c>
      <c r="G23" s="6" t="s">
        <v>1860</v>
      </c>
      <c r="H23" s="6">
        <v>45017</v>
      </c>
      <c r="I23" s="6" t="s">
        <v>1815</v>
      </c>
      <c r="J23" s="6"/>
      <c r="K23" t="s">
        <v>2160</v>
      </c>
    </row>
    <row r="24" spans="2:11">
      <c r="B24" s="6" t="s">
        <v>1861</v>
      </c>
      <c r="C24" s="6" t="s">
        <v>1862</v>
      </c>
      <c r="D24" s="6" t="s">
        <v>1813</v>
      </c>
      <c r="E24" s="392">
        <v>44923</v>
      </c>
      <c r="F24" s="6">
        <v>500</v>
      </c>
      <c r="G24" s="6" t="s">
        <v>1863</v>
      </c>
      <c r="H24" s="6">
        <v>45017</v>
      </c>
      <c r="I24" s="6" t="s">
        <v>1815</v>
      </c>
      <c r="J24" s="6"/>
      <c r="K24" t="s">
        <v>2161</v>
      </c>
    </row>
    <row r="25" spans="2:11">
      <c r="B25" s="6" t="s">
        <v>1864</v>
      </c>
      <c r="C25" s="6" t="s">
        <v>1865</v>
      </c>
      <c r="D25" s="6" t="s">
        <v>1822</v>
      </c>
      <c r="E25" s="392">
        <v>44911</v>
      </c>
      <c r="F25" s="6">
        <v>250</v>
      </c>
      <c r="G25" s="6" t="s">
        <v>1866</v>
      </c>
      <c r="H25" s="6">
        <v>45017</v>
      </c>
      <c r="I25" s="6" t="s">
        <v>1831</v>
      </c>
      <c r="J25" s="6"/>
      <c r="K25" t="s">
        <v>2162</v>
      </c>
    </row>
    <row r="26" spans="2:11">
      <c r="B26" s="6" t="s">
        <v>1867</v>
      </c>
      <c r="C26" s="6" t="s">
        <v>1868</v>
      </c>
      <c r="D26" s="6" t="s">
        <v>1818</v>
      </c>
      <c r="E26" s="392">
        <v>44918</v>
      </c>
      <c r="F26" s="6">
        <v>250</v>
      </c>
      <c r="G26" s="6" t="s">
        <v>1869</v>
      </c>
      <c r="H26" s="6">
        <v>45017</v>
      </c>
      <c r="I26" s="6" t="s">
        <v>1831</v>
      </c>
      <c r="J26" s="6"/>
    </row>
    <row r="27" spans="2:11">
      <c r="B27" s="6" t="s">
        <v>1870</v>
      </c>
      <c r="C27" s="6" t="s">
        <v>1871</v>
      </c>
      <c r="D27" s="6" t="s">
        <v>1826</v>
      </c>
      <c r="E27" s="392">
        <v>44921</v>
      </c>
      <c r="F27" s="6">
        <v>250</v>
      </c>
      <c r="G27" s="6" t="s">
        <v>1872</v>
      </c>
      <c r="H27" s="6">
        <v>45017</v>
      </c>
      <c r="I27" s="6" t="s">
        <v>1831</v>
      </c>
      <c r="J27" s="6"/>
    </row>
    <row r="28" spans="2:11">
      <c r="B28" s="6" t="s">
        <v>1873</v>
      </c>
      <c r="C28" s="6" t="s">
        <v>1874</v>
      </c>
      <c r="D28" s="6" t="s">
        <v>1813</v>
      </c>
      <c r="E28" s="392">
        <v>44898</v>
      </c>
      <c r="F28" s="6">
        <v>100</v>
      </c>
      <c r="G28" s="6" t="s">
        <v>1875</v>
      </c>
      <c r="H28" s="6">
        <v>44958</v>
      </c>
      <c r="I28" s="6" t="s">
        <v>1831</v>
      </c>
      <c r="J28" s="6"/>
    </row>
    <row r="29" spans="2:11">
      <c r="B29" s="6" t="s">
        <v>1876</v>
      </c>
      <c r="C29" s="6" t="s">
        <v>1877</v>
      </c>
      <c r="D29" s="6" t="s">
        <v>1818</v>
      </c>
      <c r="E29" s="392">
        <v>44913</v>
      </c>
      <c r="F29" s="6">
        <v>500</v>
      </c>
      <c r="G29" s="6" t="s">
        <v>1878</v>
      </c>
      <c r="H29" s="6">
        <v>45017</v>
      </c>
      <c r="I29" s="6" t="s">
        <v>1815</v>
      </c>
      <c r="J29" s="6"/>
    </row>
    <row r="30" spans="2:11">
      <c r="B30" s="6" t="s">
        <v>1879</v>
      </c>
      <c r="C30" s="6" t="s">
        <v>1880</v>
      </c>
      <c r="D30" s="6" t="s">
        <v>1826</v>
      </c>
      <c r="E30" s="392">
        <v>44915</v>
      </c>
      <c r="F30" s="6">
        <v>500</v>
      </c>
      <c r="G30" s="6" t="s">
        <v>1881</v>
      </c>
      <c r="H30" s="6">
        <v>45017</v>
      </c>
      <c r="I30" s="6" t="s">
        <v>1815</v>
      </c>
      <c r="J30" s="6"/>
    </row>
    <row r="31" spans="2:11">
      <c r="B31" s="6" t="s">
        <v>1882</v>
      </c>
      <c r="C31" s="6" t="s">
        <v>1883</v>
      </c>
      <c r="D31" s="6" t="s">
        <v>1826</v>
      </c>
      <c r="E31" s="392">
        <v>44922</v>
      </c>
      <c r="F31" s="6">
        <v>100</v>
      </c>
      <c r="G31" s="6" t="s">
        <v>1884</v>
      </c>
      <c r="H31" s="6">
        <v>45017</v>
      </c>
      <c r="I31" s="6" t="s">
        <v>1831</v>
      </c>
      <c r="J31" s="6"/>
    </row>
    <row r="32" spans="2:11">
      <c r="B32" s="6" t="s">
        <v>1885</v>
      </c>
      <c r="C32" s="6" t="s">
        <v>1886</v>
      </c>
      <c r="D32" s="6" t="s">
        <v>1813</v>
      </c>
      <c r="E32" s="392">
        <v>44905</v>
      </c>
      <c r="F32" s="6">
        <v>100</v>
      </c>
      <c r="G32" s="6" t="s">
        <v>1887</v>
      </c>
      <c r="H32" s="6">
        <v>44958</v>
      </c>
      <c r="I32" s="6" t="s">
        <v>1831</v>
      </c>
      <c r="J32" s="6"/>
    </row>
    <row r="33" spans="2:10">
      <c r="B33" s="6" t="s">
        <v>1888</v>
      </c>
      <c r="C33" s="6" t="s">
        <v>1889</v>
      </c>
      <c r="D33" s="6" t="s">
        <v>1818</v>
      </c>
      <c r="E33" s="392">
        <v>44919</v>
      </c>
      <c r="F33" s="6">
        <v>100</v>
      </c>
      <c r="G33" s="6" t="s">
        <v>1890</v>
      </c>
      <c r="H33" s="6">
        <v>45017</v>
      </c>
      <c r="I33" s="6" t="s">
        <v>1831</v>
      </c>
      <c r="J33" s="6"/>
    </row>
    <row r="34" spans="2:10">
      <c r="B34" s="6" t="s">
        <v>1891</v>
      </c>
      <c r="C34" s="6" t="s">
        <v>1892</v>
      </c>
      <c r="D34" s="6" t="s">
        <v>1822</v>
      </c>
      <c r="E34" s="392">
        <v>44922</v>
      </c>
      <c r="F34" s="6">
        <v>100</v>
      </c>
      <c r="G34" s="6" t="s">
        <v>1893</v>
      </c>
      <c r="H34" s="6">
        <v>45017</v>
      </c>
      <c r="I34" s="6" t="s">
        <v>1831</v>
      </c>
      <c r="J34" s="6"/>
    </row>
    <row r="35" spans="2:10">
      <c r="B35" s="6" t="s">
        <v>1894</v>
      </c>
      <c r="C35" s="6" t="s">
        <v>1895</v>
      </c>
      <c r="D35" s="6" t="s">
        <v>1813</v>
      </c>
      <c r="E35" s="392">
        <v>44903</v>
      </c>
      <c r="F35" s="6">
        <v>100</v>
      </c>
      <c r="G35" s="6" t="s">
        <v>1896</v>
      </c>
      <c r="H35" s="6">
        <v>44958</v>
      </c>
      <c r="I35" s="6" t="s">
        <v>1831</v>
      </c>
      <c r="J35" s="6"/>
    </row>
    <row r="36" spans="2:10">
      <c r="B36" s="6" t="s">
        <v>1897</v>
      </c>
      <c r="C36" s="6" t="s">
        <v>1898</v>
      </c>
      <c r="D36" s="6" t="s">
        <v>1818</v>
      </c>
      <c r="E36" s="392">
        <v>44921</v>
      </c>
      <c r="F36" s="6">
        <v>250</v>
      </c>
      <c r="G36" s="6" t="s">
        <v>1899</v>
      </c>
      <c r="H36" s="6">
        <v>45017</v>
      </c>
      <c r="I36" s="6" t="s">
        <v>1831</v>
      </c>
      <c r="J36" s="6"/>
    </row>
    <row r="37" spans="2:10">
      <c r="B37" s="6" t="s">
        <v>1900</v>
      </c>
      <c r="C37" s="6" t="s">
        <v>1901</v>
      </c>
      <c r="D37" s="6" t="s">
        <v>1826</v>
      </c>
      <c r="E37" s="392">
        <v>44908</v>
      </c>
      <c r="F37" s="6">
        <v>500</v>
      </c>
      <c r="G37" s="6" t="s">
        <v>1902</v>
      </c>
      <c r="H37" s="6">
        <v>44958</v>
      </c>
      <c r="I37" s="6" t="s">
        <v>1815</v>
      </c>
      <c r="J37" s="6"/>
    </row>
    <row r="38" spans="2:10">
      <c r="B38" s="6" t="s">
        <v>1903</v>
      </c>
      <c r="C38" s="6" t="s">
        <v>1904</v>
      </c>
      <c r="D38" s="6" t="s">
        <v>1818</v>
      </c>
      <c r="E38" s="392">
        <v>44907</v>
      </c>
      <c r="F38" s="6">
        <v>500</v>
      </c>
      <c r="G38" s="6" t="s">
        <v>1905</v>
      </c>
      <c r="H38" s="6">
        <v>44958</v>
      </c>
      <c r="I38" s="6" t="s">
        <v>1815</v>
      </c>
      <c r="J38" s="6"/>
    </row>
    <row r="39" spans="2:10">
      <c r="B39" s="6" t="s">
        <v>1906</v>
      </c>
      <c r="C39" s="6" t="s">
        <v>1907</v>
      </c>
      <c r="D39" s="6" t="s">
        <v>1818</v>
      </c>
      <c r="E39" s="392">
        <v>44901</v>
      </c>
      <c r="F39" s="6">
        <v>250</v>
      </c>
      <c r="G39" s="6" t="s">
        <v>1908</v>
      </c>
      <c r="H39" s="6">
        <v>44958</v>
      </c>
      <c r="I39" s="6" t="s">
        <v>1831</v>
      </c>
      <c r="J39" s="6"/>
    </row>
    <row r="40" spans="2:10">
      <c r="B40" s="6" t="s">
        <v>1909</v>
      </c>
      <c r="C40" s="6" t="s">
        <v>1910</v>
      </c>
      <c r="D40" s="6" t="s">
        <v>1818</v>
      </c>
      <c r="E40" s="392">
        <v>44900</v>
      </c>
      <c r="F40" s="6">
        <v>500</v>
      </c>
      <c r="G40" s="6" t="s">
        <v>1911</v>
      </c>
      <c r="H40" s="6">
        <v>44958</v>
      </c>
      <c r="I40" s="6" t="s">
        <v>1815</v>
      </c>
      <c r="J40" s="6"/>
    </row>
    <row r="41" spans="2:10">
      <c r="B41" s="6" t="s">
        <v>1912</v>
      </c>
      <c r="C41" s="6" t="s">
        <v>1913</v>
      </c>
      <c r="D41" s="6" t="s">
        <v>1813</v>
      </c>
      <c r="E41" s="392">
        <v>44918</v>
      </c>
      <c r="F41" s="6">
        <v>500</v>
      </c>
      <c r="G41" s="6" t="s">
        <v>1914</v>
      </c>
      <c r="H41" s="6">
        <v>45017</v>
      </c>
      <c r="I41" s="6" t="s">
        <v>1815</v>
      </c>
      <c r="J41" s="6"/>
    </row>
    <row r="42" spans="2:10">
      <c r="B42" s="6" t="s">
        <v>1915</v>
      </c>
      <c r="C42" s="6" t="s">
        <v>1916</v>
      </c>
      <c r="D42" s="6" t="s">
        <v>1818</v>
      </c>
      <c r="E42" s="392">
        <v>44897</v>
      </c>
      <c r="F42" s="6">
        <v>250</v>
      </c>
      <c r="G42" s="6" t="s">
        <v>1917</v>
      </c>
      <c r="H42" s="6">
        <v>44958</v>
      </c>
      <c r="I42" s="6" t="s">
        <v>1831</v>
      </c>
      <c r="J42" s="6"/>
    </row>
    <row r="43" spans="2:10">
      <c r="B43" s="6" t="s">
        <v>1918</v>
      </c>
      <c r="C43" s="6" t="s">
        <v>1919</v>
      </c>
      <c r="D43" s="6" t="s">
        <v>1818</v>
      </c>
      <c r="E43" s="392">
        <v>44903</v>
      </c>
      <c r="F43" s="6">
        <v>250</v>
      </c>
      <c r="G43" s="6" t="s">
        <v>1920</v>
      </c>
      <c r="H43" s="6">
        <v>44958</v>
      </c>
      <c r="I43" s="6" t="s">
        <v>1831</v>
      </c>
      <c r="J43" s="6"/>
    </row>
    <row r="44" spans="2:10">
      <c r="B44" s="6" t="s">
        <v>1921</v>
      </c>
      <c r="C44" s="6" t="s">
        <v>1922</v>
      </c>
      <c r="D44" s="6" t="s">
        <v>1818</v>
      </c>
      <c r="E44" s="392">
        <v>44897</v>
      </c>
      <c r="F44" s="6">
        <v>250</v>
      </c>
      <c r="G44" s="6" t="s">
        <v>1923</v>
      </c>
      <c r="H44" s="6">
        <v>44958</v>
      </c>
      <c r="I44" s="6" t="s">
        <v>1831</v>
      </c>
      <c r="J44" s="6"/>
    </row>
    <row r="45" spans="2:10">
      <c r="B45" s="6" t="s">
        <v>1924</v>
      </c>
      <c r="C45" s="6" t="s">
        <v>1925</v>
      </c>
      <c r="D45" s="6" t="s">
        <v>1826</v>
      </c>
      <c r="E45" s="392">
        <v>44906</v>
      </c>
      <c r="F45" s="6">
        <v>100</v>
      </c>
      <c r="G45" s="6" t="s">
        <v>1926</v>
      </c>
      <c r="H45" s="6">
        <v>44958</v>
      </c>
      <c r="I45" s="6" t="s">
        <v>1831</v>
      </c>
      <c r="J45" s="6"/>
    </row>
    <row r="46" spans="2:10">
      <c r="B46" s="6" t="s">
        <v>1927</v>
      </c>
      <c r="C46" s="6" t="s">
        <v>1928</v>
      </c>
      <c r="D46" s="6" t="s">
        <v>1826</v>
      </c>
      <c r="E46" s="392">
        <v>44901</v>
      </c>
      <c r="F46" s="6">
        <v>100</v>
      </c>
      <c r="G46" s="6" t="s">
        <v>1929</v>
      </c>
      <c r="H46" s="6">
        <v>44958</v>
      </c>
      <c r="I46" s="6" t="s">
        <v>1831</v>
      </c>
      <c r="J46" s="6"/>
    </row>
    <row r="47" spans="2:10">
      <c r="B47" s="6" t="s">
        <v>1930</v>
      </c>
      <c r="C47" s="6" t="s">
        <v>1931</v>
      </c>
      <c r="D47" s="6" t="s">
        <v>1826</v>
      </c>
      <c r="E47" s="392">
        <v>44903</v>
      </c>
      <c r="F47" s="6">
        <v>100</v>
      </c>
      <c r="G47" s="6" t="s">
        <v>1932</v>
      </c>
      <c r="H47" s="6">
        <v>44958</v>
      </c>
      <c r="I47" s="6" t="s">
        <v>1831</v>
      </c>
      <c r="J47" s="6"/>
    </row>
    <row r="48" spans="2:10">
      <c r="B48" s="6" t="s">
        <v>1933</v>
      </c>
      <c r="C48" s="6" t="s">
        <v>1934</v>
      </c>
      <c r="D48" s="6" t="s">
        <v>1818</v>
      </c>
      <c r="E48" s="392">
        <v>44909</v>
      </c>
      <c r="F48" s="6">
        <v>500</v>
      </c>
      <c r="G48" s="6" t="s">
        <v>1935</v>
      </c>
      <c r="H48" s="6">
        <v>44958</v>
      </c>
      <c r="I48" s="6" t="s">
        <v>1815</v>
      </c>
      <c r="J48" s="6"/>
    </row>
    <row r="49" spans="2:10">
      <c r="B49" s="6" t="s">
        <v>1936</v>
      </c>
      <c r="C49" s="6" t="s">
        <v>1937</v>
      </c>
      <c r="D49" s="6" t="s">
        <v>1818</v>
      </c>
      <c r="E49" s="392">
        <v>44905</v>
      </c>
      <c r="F49" s="6">
        <v>250</v>
      </c>
      <c r="G49" s="6" t="s">
        <v>1938</v>
      </c>
      <c r="H49" s="6">
        <v>44958</v>
      </c>
      <c r="I49" s="6" t="s">
        <v>1831</v>
      </c>
      <c r="J49" s="6"/>
    </row>
    <row r="50" spans="2:10">
      <c r="B50" s="6" t="s">
        <v>1939</v>
      </c>
      <c r="C50" s="6" t="s">
        <v>1940</v>
      </c>
      <c r="D50" s="6" t="s">
        <v>1813</v>
      </c>
      <c r="E50" s="392">
        <v>44913</v>
      </c>
      <c r="F50" s="6">
        <v>100</v>
      </c>
      <c r="G50" s="6" t="s">
        <v>1941</v>
      </c>
      <c r="H50" s="6">
        <v>45017</v>
      </c>
      <c r="I50" s="6" t="s">
        <v>1831</v>
      </c>
      <c r="J50" s="6"/>
    </row>
    <row r="51" spans="2:10">
      <c r="B51" s="6" t="s">
        <v>1942</v>
      </c>
      <c r="C51" s="6" t="s">
        <v>1943</v>
      </c>
      <c r="D51" s="6" t="s">
        <v>1813</v>
      </c>
      <c r="E51" s="392">
        <v>44909</v>
      </c>
      <c r="F51" s="6">
        <v>250</v>
      </c>
      <c r="G51" s="6" t="s">
        <v>1944</v>
      </c>
      <c r="H51" s="6">
        <v>44958</v>
      </c>
      <c r="I51" s="6" t="s">
        <v>1831</v>
      </c>
      <c r="J51" s="6"/>
    </row>
    <row r="52" spans="2:10">
      <c r="B52" s="6" t="s">
        <v>1945</v>
      </c>
      <c r="C52" s="6" t="s">
        <v>1946</v>
      </c>
      <c r="D52" s="6" t="s">
        <v>1813</v>
      </c>
      <c r="E52" s="392">
        <v>44900</v>
      </c>
      <c r="F52" s="6">
        <v>500</v>
      </c>
      <c r="G52" s="6" t="s">
        <v>1947</v>
      </c>
      <c r="H52" s="6">
        <v>44958</v>
      </c>
      <c r="I52" s="6" t="s">
        <v>1815</v>
      </c>
      <c r="J52" s="6"/>
    </row>
    <row r="53" spans="2:10">
      <c r="B53" s="6" t="s">
        <v>1948</v>
      </c>
      <c r="C53" s="6" t="s">
        <v>1949</v>
      </c>
      <c r="D53" s="6" t="s">
        <v>1822</v>
      </c>
      <c r="E53" s="392">
        <v>44909</v>
      </c>
      <c r="F53" s="6">
        <v>500</v>
      </c>
      <c r="G53" s="6" t="s">
        <v>1950</v>
      </c>
      <c r="H53" s="6">
        <v>44958</v>
      </c>
      <c r="I53" s="6" t="s">
        <v>1815</v>
      </c>
      <c r="J53" s="6"/>
    </row>
    <row r="54" spans="2:10">
      <c r="B54" s="6" t="s">
        <v>1951</v>
      </c>
      <c r="C54" s="6" t="s">
        <v>1952</v>
      </c>
      <c r="D54" s="6" t="s">
        <v>1826</v>
      </c>
      <c r="E54" s="392">
        <v>44924</v>
      </c>
      <c r="F54" s="6">
        <v>250</v>
      </c>
      <c r="G54" s="6" t="s">
        <v>1953</v>
      </c>
      <c r="H54" s="6">
        <v>45017</v>
      </c>
      <c r="I54" s="6" t="s">
        <v>1831</v>
      </c>
      <c r="J54" s="6"/>
    </row>
    <row r="55" spans="2:10">
      <c r="B55" s="6" t="s">
        <v>1954</v>
      </c>
      <c r="C55" s="6" t="s">
        <v>1955</v>
      </c>
      <c r="D55" s="6" t="s">
        <v>1818</v>
      </c>
      <c r="E55" s="392">
        <v>44908</v>
      </c>
      <c r="F55" s="6">
        <v>500</v>
      </c>
      <c r="G55" s="6" t="s">
        <v>1956</v>
      </c>
      <c r="H55" s="6">
        <v>44958</v>
      </c>
      <c r="I55" s="6" t="s">
        <v>1815</v>
      </c>
      <c r="J55" s="6"/>
    </row>
    <row r="56" spans="2:10">
      <c r="B56" s="6" t="s">
        <v>1957</v>
      </c>
      <c r="C56" s="6" t="s">
        <v>1958</v>
      </c>
      <c r="D56" s="6" t="s">
        <v>1818</v>
      </c>
      <c r="E56" s="392">
        <v>44913</v>
      </c>
      <c r="F56" s="6">
        <v>500</v>
      </c>
      <c r="G56" s="6" t="s">
        <v>1959</v>
      </c>
      <c r="H56" s="6">
        <v>45017</v>
      </c>
      <c r="I56" s="6" t="s">
        <v>1815</v>
      </c>
      <c r="J56" s="6"/>
    </row>
    <row r="57" spans="2:10">
      <c r="B57" s="6" t="s">
        <v>1960</v>
      </c>
      <c r="C57" s="6" t="s">
        <v>1961</v>
      </c>
      <c r="D57" s="6" t="s">
        <v>1826</v>
      </c>
      <c r="E57" s="392">
        <v>44909</v>
      </c>
      <c r="F57" s="6">
        <v>500</v>
      </c>
      <c r="G57" s="6" t="s">
        <v>1962</v>
      </c>
      <c r="H57" s="6">
        <v>44958</v>
      </c>
      <c r="I57" s="6" t="s">
        <v>1815</v>
      </c>
      <c r="J57" s="6"/>
    </row>
    <row r="58" spans="2:10">
      <c r="B58" s="6" t="s">
        <v>1963</v>
      </c>
      <c r="C58" s="6" t="s">
        <v>1964</v>
      </c>
      <c r="D58" s="6" t="s">
        <v>1822</v>
      </c>
      <c r="E58" s="392">
        <v>44900</v>
      </c>
      <c r="F58" s="6">
        <v>250</v>
      </c>
      <c r="G58" s="6" t="s">
        <v>1965</v>
      </c>
      <c r="H58" s="6">
        <v>44958</v>
      </c>
      <c r="I58" s="6" t="s">
        <v>1831</v>
      </c>
      <c r="J58" s="6"/>
    </row>
    <row r="59" spans="2:10">
      <c r="B59" s="6" t="s">
        <v>1966</v>
      </c>
      <c r="C59" s="6" t="s">
        <v>1967</v>
      </c>
      <c r="D59" s="6" t="s">
        <v>1826</v>
      </c>
      <c r="E59" s="392">
        <v>44910</v>
      </c>
      <c r="F59" s="6">
        <v>250</v>
      </c>
      <c r="G59" s="6" t="s">
        <v>1968</v>
      </c>
      <c r="H59" s="6">
        <v>45017</v>
      </c>
      <c r="I59" s="6" t="s">
        <v>1831</v>
      </c>
      <c r="J59" s="6"/>
    </row>
    <row r="60" spans="2:10">
      <c r="B60" s="6" t="s">
        <v>1969</v>
      </c>
      <c r="C60" s="6" t="s">
        <v>1970</v>
      </c>
      <c r="D60" s="6" t="s">
        <v>1818</v>
      </c>
      <c r="E60" s="392">
        <v>44902</v>
      </c>
      <c r="F60" s="6">
        <v>100</v>
      </c>
      <c r="G60" s="6" t="s">
        <v>1971</v>
      </c>
      <c r="H60" s="6">
        <v>44958</v>
      </c>
      <c r="I60" s="6" t="s">
        <v>1831</v>
      </c>
      <c r="J60" s="6"/>
    </row>
    <row r="61" spans="2:10">
      <c r="B61" s="6" t="s">
        <v>1972</v>
      </c>
      <c r="C61" s="6" t="s">
        <v>1973</v>
      </c>
      <c r="D61" s="6" t="s">
        <v>1813</v>
      </c>
      <c r="E61" s="392">
        <v>44914</v>
      </c>
      <c r="F61" s="6">
        <v>250</v>
      </c>
      <c r="G61" s="6" t="s">
        <v>1974</v>
      </c>
      <c r="H61" s="6">
        <v>45017</v>
      </c>
      <c r="I61" s="6" t="s">
        <v>1831</v>
      </c>
      <c r="J61" s="6"/>
    </row>
    <row r="62" spans="2:10">
      <c r="B62" s="6" t="s">
        <v>1975</v>
      </c>
      <c r="C62" s="6" t="s">
        <v>1976</v>
      </c>
      <c r="D62" s="6" t="s">
        <v>1813</v>
      </c>
      <c r="E62" s="392">
        <v>44919</v>
      </c>
      <c r="F62" s="6">
        <v>250</v>
      </c>
      <c r="G62" s="6" t="s">
        <v>1977</v>
      </c>
      <c r="H62" s="6">
        <v>45017</v>
      </c>
      <c r="I62" s="6" t="s">
        <v>1831</v>
      </c>
      <c r="J62" s="6"/>
    </row>
    <row r="63" spans="2:10">
      <c r="B63" s="6" t="s">
        <v>1978</v>
      </c>
      <c r="C63" s="6" t="s">
        <v>1979</v>
      </c>
      <c r="D63" s="6" t="s">
        <v>1822</v>
      </c>
      <c r="E63" s="392">
        <v>44924</v>
      </c>
      <c r="F63" s="6">
        <v>500</v>
      </c>
      <c r="G63" s="6" t="s">
        <v>1980</v>
      </c>
      <c r="H63" s="6">
        <v>45017</v>
      </c>
      <c r="I63" s="6" t="s">
        <v>1815</v>
      </c>
      <c r="J63" s="6"/>
    </row>
    <row r="64" spans="2:10">
      <c r="B64" s="6" t="s">
        <v>1981</v>
      </c>
      <c r="C64" s="6" t="s">
        <v>1982</v>
      </c>
      <c r="D64" s="6" t="s">
        <v>1818</v>
      </c>
      <c r="E64" s="392">
        <v>44906</v>
      </c>
      <c r="F64" s="6">
        <v>500</v>
      </c>
      <c r="G64" s="6" t="s">
        <v>1983</v>
      </c>
      <c r="H64" s="6">
        <v>44958</v>
      </c>
      <c r="I64" s="6" t="s">
        <v>1815</v>
      </c>
      <c r="J64" s="6"/>
    </row>
    <row r="65" spans="2:10">
      <c r="B65" s="6" t="s">
        <v>1984</v>
      </c>
      <c r="C65" s="6" t="s">
        <v>1985</v>
      </c>
      <c r="D65" s="6" t="s">
        <v>1813</v>
      </c>
      <c r="E65" s="392">
        <v>44901</v>
      </c>
      <c r="F65" s="6">
        <v>250</v>
      </c>
      <c r="G65" s="6" t="s">
        <v>1986</v>
      </c>
      <c r="H65" s="6">
        <v>44958</v>
      </c>
      <c r="I65" s="6" t="s">
        <v>1831</v>
      </c>
      <c r="J65" s="6"/>
    </row>
    <row r="66" spans="2:10">
      <c r="B66" s="6" t="s">
        <v>1987</v>
      </c>
      <c r="C66" s="6" t="s">
        <v>1988</v>
      </c>
      <c r="D66" s="6" t="s">
        <v>1822</v>
      </c>
      <c r="E66" s="392">
        <v>44899</v>
      </c>
      <c r="F66" s="6">
        <v>100</v>
      </c>
      <c r="G66" s="6" t="s">
        <v>1989</v>
      </c>
      <c r="H66" s="6">
        <v>44958</v>
      </c>
      <c r="I66" s="6" t="s">
        <v>1831</v>
      </c>
      <c r="J66" s="6"/>
    </row>
    <row r="67" spans="2:10">
      <c r="B67" s="6" t="s">
        <v>1990</v>
      </c>
      <c r="C67" s="6" t="s">
        <v>1991</v>
      </c>
      <c r="D67" s="6" t="s">
        <v>1818</v>
      </c>
      <c r="E67" s="392">
        <v>44911</v>
      </c>
      <c r="F67" s="6">
        <v>100</v>
      </c>
      <c r="G67" s="6" t="s">
        <v>1992</v>
      </c>
      <c r="H67" s="6">
        <v>45017</v>
      </c>
      <c r="I67" s="6" t="s">
        <v>1831</v>
      </c>
      <c r="J67" s="6"/>
    </row>
    <row r="68" spans="2:10">
      <c r="B68" s="6" t="s">
        <v>1993</v>
      </c>
      <c r="C68" s="6" t="s">
        <v>1994</v>
      </c>
      <c r="D68" s="6" t="s">
        <v>1818</v>
      </c>
      <c r="E68" s="392">
        <v>44903</v>
      </c>
      <c r="F68" s="6">
        <v>500</v>
      </c>
      <c r="G68" s="6" t="s">
        <v>1995</v>
      </c>
      <c r="H68" s="6">
        <v>44958</v>
      </c>
      <c r="I68" s="6" t="s">
        <v>1815</v>
      </c>
      <c r="J68" s="6"/>
    </row>
    <row r="69" spans="2:10">
      <c r="B69" s="6" t="s">
        <v>1996</v>
      </c>
      <c r="C69" s="6" t="s">
        <v>1997</v>
      </c>
      <c r="D69" s="6" t="s">
        <v>1826</v>
      </c>
      <c r="E69" s="392">
        <v>44917</v>
      </c>
      <c r="F69" s="6">
        <v>250</v>
      </c>
      <c r="G69" s="6" t="s">
        <v>1998</v>
      </c>
      <c r="H69" s="6">
        <v>45017</v>
      </c>
      <c r="I69" s="6" t="s">
        <v>1831</v>
      </c>
      <c r="J69" s="6"/>
    </row>
    <row r="70" spans="2:10">
      <c r="B70" s="6" t="s">
        <v>1999</v>
      </c>
      <c r="C70" s="6" t="s">
        <v>2000</v>
      </c>
      <c r="D70" s="6" t="s">
        <v>1813</v>
      </c>
      <c r="E70" s="392">
        <v>44916</v>
      </c>
      <c r="F70" s="6">
        <v>250</v>
      </c>
      <c r="G70" s="6" t="s">
        <v>2001</v>
      </c>
      <c r="H70" s="6">
        <v>45017</v>
      </c>
      <c r="I70" s="6" t="s">
        <v>1831</v>
      </c>
      <c r="J70" s="6"/>
    </row>
    <row r="71" spans="2:10">
      <c r="B71" s="6" t="s">
        <v>1832</v>
      </c>
      <c r="C71" s="6" t="s">
        <v>2002</v>
      </c>
      <c r="D71" s="6" t="s">
        <v>1826</v>
      </c>
      <c r="E71" s="392">
        <v>44917</v>
      </c>
      <c r="F71" s="6">
        <v>250</v>
      </c>
      <c r="G71" s="6" t="s">
        <v>1834</v>
      </c>
      <c r="H71" s="6">
        <v>45017</v>
      </c>
      <c r="I71" s="6" t="s">
        <v>1831</v>
      </c>
      <c r="J71" s="6"/>
    </row>
    <row r="72" spans="2:10">
      <c r="B72" s="6" t="s">
        <v>1835</v>
      </c>
      <c r="C72" s="6" t="s">
        <v>2003</v>
      </c>
      <c r="D72" s="6" t="s">
        <v>1826</v>
      </c>
      <c r="E72" s="392">
        <v>44902</v>
      </c>
      <c r="F72" s="6">
        <v>250</v>
      </c>
      <c r="G72" s="6" t="s">
        <v>1837</v>
      </c>
      <c r="H72" s="6">
        <v>44958</v>
      </c>
      <c r="I72" s="6" t="s">
        <v>1831</v>
      </c>
      <c r="J72" s="6"/>
    </row>
    <row r="73" spans="2:10">
      <c r="B73" s="6" t="s">
        <v>1838</v>
      </c>
      <c r="C73" s="6" t="s">
        <v>2004</v>
      </c>
      <c r="D73" s="6" t="s">
        <v>1818</v>
      </c>
      <c r="E73" s="392">
        <v>44897</v>
      </c>
      <c r="F73" s="6">
        <v>500</v>
      </c>
      <c r="G73" s="6" t="s">
        <v>1840</v>
      </c>
      <c r="H73" s="6">
        <v>44958</v>
      </c>
      <c r="I73" s="6" t="s">
        <v>1815</v>
      </c>
      <c r="J73" s="6"/>
    </row>
    <row r="74" spans="2:10">
      <c r="J74" s="6"/>
    </row>
    <row r="75" spans="2:10">
      <c r="J75" s="6"/>
    </row>
    <row r="76" spans="2:10">
      <c r="J76" s="6"/>
    </row>
    <row r="77" spans="2:10">
      <c r="J77" s="6"/>
    </row>
    <row r="78" spans="2:10">
      <c r="J78" s="6"/>
    </row>
    <row r="79" spans="2:10">
      <c r="J79" s="6"/>
    </row>
    <row r="80" spans="2:10">
      <c r="J80" s="6"/>
    </row>
    <row r="81" spans="10:10">
      <c r="J81" s="6"/>
    </row>
    <row r="82" spans="10:10">
      <c r="J82" s="6"/>
    </row>
    <row r="83" spans="10:10">
      <c r="J83" s="6"/>
    </row>
    <row r="84" spans="10:10">
      <c r="J84" s="6"/>
    </row>
    <row r="85" spans="10:10">
      <c r="J85" s="6"/>
    </row>
    <row r="86" spans="10:10">
      <c r="J86" s="6"/>
    </row>
    <row r="87" spans="10:10">
      <c r="J87" s="6"/>
    </row>
    <row r="88" spans="10:10">
      <c r="J88" s="6"/>
    </row>
    <row r="89" spans="10:10">
      <c r="J89" s="6"/>
    </row>
    <row r="90" spans="10:10">
      <c r="J90" s="6"/>
    </row>
    <row r="91" spans="10:10">
      <c r="J91" s="6"/>
    </row>
    <row r="92" spans="10:10">
      <c r="J92" s="6"/>
    </row>
    <row r="93" spans="10:10">
      <c r="J93" s="6"/>
    </row>
    <row r="94" spans="10:10">
      <c r="J94" s="6"/>
    </row>
    <row r="95" spans="10:10">
      <c r="J95" s="6"/>
    </row>
    <row r="96" spans="10:10">
      <c r="J96" s="6"/>
    </row>
    <row r="97" spans="10:10">
      <c r="J97" s="6"/>
    </row>
    <row r="98" spans="10:10">
      <c r="J98" s="6"/>
    </row>
    <row r="99" spans="10:10">
      <c r="J99" s="6"/>
    </row>
    <row r="100" spans="10:10">
      <c r="J100" s="6"/>
    </row>
  </sheetData>
  <mergeCells count="2">
    <mergeCell ref="B3:G3"/>
    <mergeCell ref="B5:G5"/>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69BA83-13BC-4E84-AEA3-D2567F6C48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TABLE</vt:lpstr>
      <vt:lpstr>PASTE SPECIAL</vt:lpstr>
      <vt:lpstr>REFERENCE</vt:lpstr>
      <vt:lpstr>DATA ARRANGEMENT</vt:lpstr>
      <vt:lpstr>SUBTOTAL</vt:lpstr>
      <vt:lpstr>CONDITIONAL FORMATTING</vt:lpstr>
      <vt:lpstr>ANALYSIS</vt:lpstr>
      <vt:lpstr>COLUMN CHART</vt:lpstr>
      <vt:lpstr>LINE CHART</vt:lpstr>
      <vt:lpstr>PIE CHART</vt:lpstr>
      <vt:lpstr>TEXT FUNCTIONS</vt:lpstr>
      <vt:lpstr>MATHEMATICAL FUNCTIONS</vt:lpstr>
      <vt:lpstr>LOGICAL FUNCTIONS</vt:lpstr>
      <vt:lpstr>DATABASE FUNCTIONS</vt:lpstr>
      <vt:lpstr>FUNCTIONS PRACTICE</vt:lpstr>
      <vt:lpstr>POWER QUERY</vt:lpstr>
      <vt:lpstr>'CONDITIONAL FORMATTING'!Extract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vasusingh0709@gmail.com</dc:creator>
  <cp:lastModifiedBy>hp</cp:lastModifiedBy>
  <dcterms:created xsi:type="dcterms:W3CDTF">2024-06-22T14:28:48Z</dcterms:created>
  <dcterms:modified xsi:type="dcterms:W3CDTF">2025-03-06T13:37:44Z</dcterms:modified>
</cp:coreProperties>
</file>